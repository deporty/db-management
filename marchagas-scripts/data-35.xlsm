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8772" tabRatio="963"/>
  </bookViews>
  <sheets>
    <sheet name="JUGADORES" sheetId="48" r:id="rId1"/>
    <sheet name="A" sheetId="1" r:id="rId2"/>
    <sheet name="GRUPO A" sheetId="14" r:id="rId3"/>
    <sheet name="TARJETAS" sheetId="46" r:id="rId4"/>
    <sheet name="GENERAL" sheetId="17" r:id="rId5"/>
    <sheet name="CUADRANGULARES" sheetId="37" r:id="rId6"/>
    <sheet name="1" sheetId="62" r:id="rId7"/>
    <sheet name="C1" sheetId="29" r:id="rId8"/>
    <sheet name="2" sheetId="63" r:id="rId9"/>
    <sheet name="C2" sheetId="64" r:id="rId10"/>
    <sheet name="3" sheetId="65" r:id="rId11"/>
    <sheet name="C3" sheetId="66" r:id="rId12"/>
    <sheet name="4" sheetId="67" r:id="rId13"/>
    <sheet name="C4" sheetId="68" r:id="rId14"/>
    <sheet name="5" sheetId="69" r:id="rId15"/>
    <sheet name="C5" sheetId="70" r:id="rId16"/>
    <sheet name="6" sheetId="71" r:id="rId17"/>
    <sheet name="C6" sheetId="72" r:id="rId18"/>
    <sheet name="7" sheetId="73" r:id="rId19"/>
    <sheet name="C7" sheetId="74" r:id="rId20"/>
    <sheet name="8" sheetId="75" r:id="rId21"/>
    <sheet name="C8" sheetId="76" r:id="rId22"/>
    <sheet name="FINALES" sheetId="38" r:id="rId23"/>
    <sheet name="23 ABR" sheetId="85" r:id="rId24"/>
    <sheet name="9 ABR" sheetId="84" r:id="rId25"/>
    <sheet name="2 ABR" sheetId="83" r:id="rId26"/>
    <sheet name="26 MAR" sheetId="82" r:id="rId27"/>
    <sheet name="19 MAR" sheetId="81" r:id="rId28"/>
    <sheet name="12 MAR" sheetId="80" r:id="rId29"/>
    <sheet name="5 MAR" sheetId="79" r:id="rId30"/>
    <sheet name="26 FEB" sheetId="78" r:id="rId31"/>
    <sheet name="19 FEB" sheetId="77" r:id="rId32"/>
    <sheet name="12 FEB" sheetId="47" r:id="rId33"/>
  </sheets>
  <externalReferences>
    <externalReference r:id="rId35"/>
  </externalReferences>
  <definedNames>
    <definedName name="_xlnm._FilterDatabase" localSheetId="6" hidden="1">'1'!#REF!</definedName>
    <definedName name="_xlnm._FilterDatabase" localSheetId="8" hidden="1">'2'!#REF!</definedName>
    <definedName name="_xlnm._FilterDatabase" localSheetId="10" hidden="1">'3'!#REF!</definedName>
    <definedName name="_xlnm._FilterDatabase" localSheetId="12" hidden="1">'4'!#REF!</definedName>
    <definedName name="_xlnm._FilterDatabase" localSheetId="14" hidden="1">'5'!#REF!</definedName>
    <definedName name="_xlnm._FilterDatabase" localSheetId="16" hidden="1">'6'!#REF!</definedName>
    <definedName name="_xlnm._FilterDatabase" localSheetId="18" hidden="1">'7'!#REF!</definedName>
    <definedName name="_xlnm._FilterDatabase" localSheetId="20" hidden="1">'8'!#REF!</definedName>
    <definedName name="_xlnm._FilterDatabase" localSheetId="7" hidden="1">'C1'!$D$4:$L$8</definedName>
    <definedName name="_xlnm._FilterDatabase" localSheetId="9" hidden="1">'C2'!$D$4:$L$8</definedName>
    <definedName name="_xlnm._FilterDatabase" localSheetId="11" hidden="1">'C3'!$D$4:$L$8</definedName>
    <definedName name="_xlnm._FilterDatabase" localSheetId="13" hidden="1">'C4'!$D$4:$L$8</definedName>
    <definedName name="_xlnm._FilterDatabase" localSheetId="15" hidden="1">'C5'!$D$4:$L$8</definedName>
    <definedName name="_xlnm._FilterDatabase" localSheetId="17" hidden="1">'C6'!$D$4:$L$8</definedName>
    <definedName name="_xlnm._FilterDatabase" localSheetId="19" hidden="1">'C7'!$D$4:$L$8</definedName>
    <definedName name="_xlnm._FilterDatabase" localSheetId="21" hidden="1">'C8'!$D$4:$L$8</definedName>
    <definedName name="_xlnm._FilterDatabase" localSheetId="3" hidden="1">TARJETAS!$A$5:$E$5</definedName>
  </definedNames>
  <calcPr calcId="144525"/>
</workbook>
</file>

<file path=xl/sharedStrings.xml><?xml version="1.0" encoding="utf-8"?>
<sst xmlns="http://schemas.openxmlformats.org/spreadsheetml/2006/main" count="2073" uniqueCount="241">
  <si>
    <t>N° CEDULA</t>
  </si>
  <si>
    <t>NOMBRE</t>
  </si>
  <si>
    <t>EQUIPO</t>
  </si>
  <si>
    <t>FECHA</t>
  </si>
  <si>
    <t>NACIMIENTO</t>
  </si>
  <si>
    <t>AÑOS</t>
  </si>
  <si>
    <t>ABC JURIDICA S.A.S - EURO REPUESTOS EL BOMBI</t>
  </si>
  <si>
    <t>ALEMANA DE REPUESTOS - ESTRUCTURAS LIVIANAS</t>
  </si>
  <si>
    <t>DON JUAN BAR</t>
  </si>
  <si>
    <t>FAMA MANTENIMIENTO</t>
  </si>
  <si>
    <t>JENAVI F.C</t>
  </si>
  <si>
    <t>M Y M - ESPARTANOS</t>
  </si>
  <si>
    <t>POLIFASE INGENIEIRA</t>
  </si>
  <si>
    <t>SAO PAULO TIENDA DE ROPA</t>
  </si>
  <si>
    <t>SOLDACERO INDUSTRIAL</t>
  </si>
  <si>
    <t>DISPONIBILIDAD</t>
  </si>
  <si>
    <t>#</t>
  </si>
  <si>
    <t>EQUIPOS GRUPO A</t>
  </si>
  <si>
    <t>MARCADOR</t>
  </si>
  <si>
    <t>CANCHA</t>
  </si>
  <si>
    <t>ABC JURIDICAS S.A.S - EURO REPUESTOS EL BOMBI</t>
  </si>
  <si>
    <t>X</t>
  </si>
  <si>
    <t>No programar</t>
  </si>
  <si>
    <t>JEVANI F.C</t>
  </si>
  <si>
    <t>POLIFASE INGENIERIA</t>
  </si>
  <si>
    <t>TABLA DE POSICIONES GRUPO A</t>
  </si>
  <si>
    <t>P.J</t>
  </si>
  <si>
    <t>P.G</t>
  </si>
  <si>
    <t>P.E</t>
  </si>
  <si>
    <t>P.P</t>
  </si>
  <si>
    <t>G.F</t>
  </si>
  <si>
    <t>G.C</t>
  </si>
  <si>
    <t>G.D</t>
  </si>
  <si>
    <t>V.M.V</t>
  </si>
  <si>
    <t>PTOS</t>
  </si>
  <si>
    <r>
      <rPr>
        <b/>
        <sz val="16"/>
        <color theme="1"/>
        <rFont val="Calibri"/>
        <charset val="134"/>
        <scheme val="minor"/>
      </rPr>
      <t xml:space="preserve">I TORNEO MARCHAGAS ( 35 ) </t>
    </r>
    <r>
      <rPr>
        <b/>
        <sz val="16"/>
        <color rgb="FFFF0000"/>
        <rFont val="Calibri"/>
        <charset val="134"/>
        <scheme val="minor"/>
      </rPr>
      <t>( SABADO 23 ABRIL 2022)</t>
    </r>
  </si>
  <si>
    <t>CEDULA</t>
  </si>
  <si>
    <t>GENERADO</t>
  </si>
  <si>
    <t>PAGADO</t>
  </si>
  <si>
    <t>FECHA PAGO</t>
  </si>
  <si>
    <t>FECHAS</t>
  </si>
  <si>
    <t>EQUIPOS</t>
  </si>
  <si>
    <t>ALUMINIOS FER</t>
  </si>
  <si>
    <t>AMIGOS CHEC</t>
  </si>
  <si>
    <t>AR PLATE FC</t>
  </si>
  <si>
    <t>ARANJUEZ</t>
  </si>
  <si>
    <t>AUTOELECTRICOS ARBOLEDA</t>
  </si>
  <si>
    <t>BAYERN MUNICH</t>
  </si>
  <si>
    <t>BOCAS Y BRACKETS</t>
  </si>
  <si>
    <t>BORUSSIA DORTMUND</t>
  </si>
  <si>
    <t>CAMILO TORRES</t>
  </si>
  <si>
    <t>CHUZOS NELSON</t>
  </si>
  <si>
    <t>COLOMBIANET</t>
  </si>
  <si>
    <t>COLONIA DE PENSILVANIA</t>
  </si>
  <si>
    <t>COMPURED MANIZALES</t>
  </si>
  <si>
    <t>DE FARRA CLUB SOCIAL</t>
  </si>
  <si>
    <t>DUFF FUTBOL CLUB</t>
  </si>
  <si>
    <t>GREMIO</t>
  </si>
  <si>
    <t>INGENIEROS</t>
  </si>
  <si>
    <t>ISOMET</t>
  </si>
  <si>
    <t>JENAVI FC</t>
  </si>
  <si>
    <t>INVERSIONES L&amp;L</t>
  </si>
  <si>
    <t>LA ACADEMIA</t>
  </si>
  <si>
    <t>LILI COMUNICACIONES</t>
  </si>
  <si>
    <t>LLAVES CONTROLES Y CHIPS</t>
  </si>
  <si>
    <t>LOS CHACHOS</t>
  </si>
  <si>
    <t>LOS CHOLOS</t>
  </si>
  <si>
    <t>LOS COCOS</t>
  </si>
  <si>
    <t>LOS DE BULDOS</t>
  </si>
  <si>
    <t>M Y M</t>
  </si>
  <si>
    <t>MACKDIESEL</t>
  </si>
  <si>
    <t>MAGICA FC</t>
  </si>
  <si>
    <t>MALTERIA</t>
  </si>
  <si>
    <t>MECATRONICA</t>
  </si>
  <si>
    <t>TABLA DE POSICIONES GENERAL</t>
  </si>
  <si>
    <t>CUADRANGULAR 1</t>
  </si>
  <si>
    <t>CUADRANGULAR 2</t>
  </si>
  <si>
    <t>CUADRANGULAR 3</t>
  </si>
  <si>
    <t>CUADRANGULAR 4</t>
  </si>
  <si>
    <t>1 GRUPO A</t>
  </si>
  <si>
    <t>1 GRUPO B</t>
  </si>
  <si>
    <t>1 GRUPO C</t>
  </si>
  <si>
    <t>1 GRUPO D</t>
  </si>
  <si>
    <t>3 GRUPO B</t>
  </si>
  <si>
    <t>3 GRUPO C</t>
  </si>
  <si>
    <t>3 GRUPO D</t>
  </si>
  <si>
    <t>3 GRUPO A</t>
  </si>
  <si>
    <t>5 GRUPO C</t>
  </si>
  <si>
    <t>5 GRUPO D</t>
  </si>
  <si>
    <t>5 GRUPO A</t>
  </si>
  <si>
    <t>5 GRUPO B</t>
  </si>
  <si>
    <t>7 GRUPO D</t>
  </si>
  <si>
    <t>7 GRUPO A</t>
  </si>
  <si>
    <t>7 GRUPO B</t>
  </si>
  <si>
    <t>7 GRUPO C</t>
  </si>
  <si>
    <t>CUADRANGULAR 5</t>
  </si>
  <si>
    <t>CUADRANGULAR 6</t>
  </si>
  <si>
    <t>CUADRANGULAR 7</t>
  </si>
  <si>
    <t>CUADRANGULAR 8</t>
  </si>
  <si>
    <t>2 GRUPO A</t>
  </si>
  <si>
    <t>2 GRUPO B</t>
  </si>
  <si>
    <t>2 GRUPO C</t>
  </si>
  <si>
    <t>2 GRUPO D</t>
  </si>
  <si>
    <t>4 GRUPO B</t>
  </si>
  <si>
    <t>4 GRUPO C</t>
  </si>
  <si>
    <t>4 GRUPO D</t>
  </si>
  <si>
    <t>4 GRUPO A</t>
  </si>
  <si>
    <t>6 GRUPO C</t>
  </si>
  <si>
    <t>6 GRUPO D</t>
  </si>
  <si>
    <t>6 GRUPO A</t>
  </si>
  <si>
    <t>6 GRUPO B</t>
  </si>
  <si>
    <t>8 GRUPO D</t>
  </si>
  <si>
    <t>8 GRUPO A</t>
  </si>
  <si>
    <t>8 GRUPO B</t>
  </si>
  <si>
    <t>8 GRUPO C</t>
  </si>
  <si>
    <t>1 GRUPO 1</t>
  </si>
  <si>
    <t>1 GRUPO 7</t>
  </si>
  <si>
    <t>2 GRUPO 7</t>
  </si>
  <si>
    <t>CAMPEON</t>
  </si>
  <si>
    <t>2 GRUPO 1</t>
  </si>
  <si>
    <t>1 GRUPO 5</t>
  </si>
  <si>
    <t>1 GRUPO 3</t>
  </si>
  <si>
    <t>2 GRUPO 3</t>
  </si>
  <si>
    <t>2 GRUPO 5</t>
  </si>
  <si>
    <t>1 GRUPO 2</t>
  </si>
  <si>
    <t>1 GRUPO 8</t>
  </si>
  <si>
    <t>2 GRUPO 8</t>
  </si>
  <si>
    <t>2 GRUPO 2</t>
  </si>
  <si>
    <t>1 GRUPO 6</t>
  </si>
  <si>
    <t>1 GRUPO 4</t>
  </si>
  <si>
    <t>2 GRUPO 4</t>
  </si>
  <si>
    <t>2 GRUPO 6</t>
  </si>
  <si>
    <t>4 CANCHAS EN CÉSPED SINTÉTICO</t>
  </si>
  <si>
    <t xml:space="preserve">     PARA FÚTBOL 7 FÚTBOL SALA  </t>
  </si>
  <si>
    <t xml:space="preserve">        Y FÚTBOL DE SALON FIFA</t>
  </si>
  <si>
    <t>TABLA DE POSICIONES</t>
  </si>
  <si>
    <t>RESULTADOS DE LA FECHA ANTERIOR</t>
  </si>
  <si>
    <t>TABLA DE EXPULSADOS</t>
  </si>
  <si>
    <t>TABLA DE GOLEADORES</t>
  </si>
  <si>
    <t>SABADO 23 MARZO 2022</t>
  </si>
  <si>
    <t>GOLES</t>
  </si>
  <si>
    <t>POLIFASE INGENIERA</t>
  </si>
  <si>
    <t>LUIS FELIPE CARDONA VILLEGAS</t>
  </si>
  <si>
    <t>CRISTIAN DAVID VALENCIA CUELLAR</t>
  </si>
  <si>
    <t>JUAN PABLO JARAMILLO PENAGOS</t>
  </si>
  <si>
    <t>ALEJANDRO SERNA CEBALLOS</t>
  </si>
  <si>
    <t>JORGE ANDRES BARCO DELGADO</t>
  </si>
  <si>
    <t>CESAR AUGUSTO DUQUE JARAMILLO</t>
  </si>
  <si>
    <t>RICARDO ANDRES BARCO CARDONA</t>
  </si>
  <si>
    <t>ANDRES MAURICIO CARDENAS CASTAÑO</t>
  </si>
  <si>
    <t xml:space="preserve">OSCAR ALEXANDER HERNANDEZ </t>
  </si>
  <si>
    <t>EDISON ANDRES OCAMPO SOLANO</t>
  </si>
  <si>
    <t>OSCAR EDUARDO ALZATE RESTREPO</t>
  </si>
  <si>
    <t xml:space="preserve"> Zona de clasificación</t>
  </si>
  <si>
    <t>CRISTIAN CAMILO GOMEZ MENDOZA</t>
  </si>
  <si>
    <t>ANDRES GIOVANNI CARDONA ZULUAGA</t>
  </si>
  <si>
    <t>HERNAN AUGUSTO SALAZAR MAHECHA</t>
  </si>
  <si>
    <t>ANDRES MAURICIO GOMEZ GOMEZ</t>
  </si>
  <si>
    <t>JUAN PABLO AGUIRRE SANCHEZ</t>
  </si>
  <si>
    <t>LEONARDO ARBOLEDA ARIAS</t>
  </si>
  <si>
    <t>RUBEN DARIO FLOREZ ALVARAN</t>
  </si>
  <si>
    <t>JULIAN DAVID BUITRAGO QUINTERO</t>
  </si>
  <si>
    <t>JESUS DAVID GONZALEZ TORRES</t>
  </si>
  <si>
    <t>MILTON NEFTALY ARANGO MURILLO</t>
  </si>
  <si>
    <t>JORGE ARMANDO MARTINEZ DELGADO</t>
  </si>
  <si>
    <t>JULIAN ANTONIO GALVEZ RAMIREZ</t>
  </si>
  <si>
    <t>JULIO CESAR GARCIA CHICA</t>
  </si>
  <si>
    <t>JORGE EDUARDO HOLGUIN MARIN</t>
  </si>
  <si>
    <t>FREDY JOVANY NUÑEZ HERNANDEZ</t>
  </si>
  <si>
    <t>WILLINGTON LEANDRO ARCILA OCAMPO</t>
  </si>
  <si>
    <t>ROBINSON ECHEVERRY VALENCIA</t>
  </si>
  <si>
    <t>OSWALDO TORRES MONTOYA</t>
  </si>
  <si>
    <t>OMAR HERNANDEZ CAÑON</t>
  </si>
  <si>
    <t>VICTOR HUGO GIRALDO ARANGO</t>
  </si>
  <si>
    <t>FERNANDO PARRA OROZCO</t>
  </si>
  <si>
    <t>CARLOS ALBERTO LOAIZA TORRES</t>
  </si>
  <si>
    <t>JORGE ARMANDO MARIN MARIN</t>
  </si>
  <si>
    <t>OTONIEL SERNA LONDOÑO</t>
  </si>
  <si>
    <t>WILMAR ALONSO ZULUAGA</t>
  </si>
  <si>
    <t>JOSE ROBINSON ARBOLEDA DUQUE</t>
  </si>
  <si>
    <t>YAHIR EUGENIO GARCIA SEIJAS</t>
  </si>
  <si>
    <t>JOVANY HERNANDEZ BARCO</t>
  </si>
  <si>
    <t>LEONARDO ROJAS LONDOÑO</t>
  </si>
  <si>
    <t>EDWIN MAURICIO TRIVIÑO OSORIO</t>
  </si>
  <si>
    <t xml:space="preserve">  </t>
  </si>
  <si>
    <t>JULIAN ANDRES GAVIRIA LOPEZ</t>
  </si>
  <si>
    <t>ANDRES GIOVANNY GONZALEZ OSORIO</t>
  </si>
  <si>
    <t>ANDRES FELIPE AGUDELO DIAZ</t>
  </si>
  <si>
    <t>JUAN SEBASTIAN RAMIREZ ALVAREZ</t>
  </si>
  <si>
    <t>JOHN ANDRES GAVIRIA ESCOBAR</t>
  </si>
  <si>
    <t>CRISTIAN FELIPE DIOSA GONZALEZ</t>
  </si>
  <si>
    <t>HECTOR ENRIQUE PAYAN BOTERO</t>
  </si>
  <si>
    <t>ANDRES MAURICIO GRAJALES JIMENEZ</t>
  </si>
  <si>
    <t>CRISTIAN STEVEN MORALES ARIAS</t>
  </si>
  <si>
    <t>JOAN MAURICIO SIERRA GARCIA</t>
  </si>
  <si>
    <t>OSCAR JULIAN RODRIGUEZ ARISTIZABAL</t>
  </si>
  <si>
    <t>CARLOS ANDRES MARIN</t>
  </si>
  <si>
    <t>FERNAN ALONSO MUÑOZ OSORIO</t>
  </si>
  <si>
    <t>HUMBERTO ALEXANDRO CARDONA FLOREZ</t>
  </si>
  <si>
    <t>LUIS FERNANDO PATIÑO SERNA</t>
  </si>
  <si>
    <t>CARLOS ANDRS OCAMPO AGUDELO</t>
  </si>
  <si>
    <t>JOHN FREDY CARDENAS AGUDELO</t>
  </si>
  <si>
    <t>JOHN ALEXANDER  VARGAS MARIN</t>
  </si>
  <si>
    <t>JORGE IVAN MOSQUERA DUQUE</t>
  </si>
  <si>
    <t>MAURICIO ATEHORTUA GRISALES</t>
  </si>
  <si>
    <t>EVER ARMANDO CARDONA BEDOYA</t>
  </si>
  <si>
    <t>JUAN PABLO ECHEVERRY</t>
  </si>
  <si>
    <t>GUSTAVO ADOLFO TRUJILLO GOMEZ</t>
  </si>
  <si>
    <t>VLADIMIR SUAREZ GUTIERREZ</t>
  </si>
  <si>
    <t>DANIEL RODRIGO DUQUE ZAPATA</t>
  </si>
  <si>
    <t>MARIO ALBERTO VASCO LOPEZ</t>
  </si>
  <si>
    <t>JUAN PABLO MERCHAN</t>
  </si>
  <si>
    <t>HECTOR FABIO QUICENO MEJIA</t>
  </si>
  <si>
    <t>ANDRES DAVID ARROYAVE ATEHORTUA</t>
  </si>
  <si>
    <t>JHONATAN ARISTIZABAL CARDENAS</t>
  </si>
  <si>
    <t>SABADO 9 MARZO 2022</t>
  </si>
  <si>
    <t>ORLANDO ARANGO ALVARAN</t>
  </si>
  <si>
    <t>MAURICIO BUENO</t>
  </si>
  <si>
    <t>RODOLFO PINEDA GIRALDO</t>
  </si>
  <si>
    <t>OSCAR ALEXANDER HERNANDEZ</t>
  </si>
  <si>
    <t>SABADO 2 MARZO 2022</t>
  </si>
  <si>
    <t>NO HUBO EXPULSADOS</t>
  </si>
  <si>
    <t>SABADO 26 MARZO 2022</t>
  </si>
  <si>
    <t>SABADO 19 MARZO 2022</t>
  </si>
  <si>
    <t>SABADO 12 MARZO 2022</t>
  </si>
  <si>
    <t>DARINSON RENTERIA LEMUS</t>
  </si>
  <si>
    <t>ESTRUCTURAS LIVIANAS - SUPER ARROZ</t>
  </si>
  <si>
    <t>VIDRIALUM</t>
  </si>
  <si>
    <t>0</t>
  </si>
  <si>
    <t>ESTRUCTURAS LIVIANAS Y ACABADOS - SUPER ARROZ</t>
  </si>
  <si>
    <t>SABADO 5 MARZO 2022</t>
  </si>
  <si>
    <t>PELY PLASTICOS</t>
  </si>
  <si>
    <t>VIRGIN MOBILE</t>
  </si>
  <si>
    <t>SABADO 26 FEBRERO 2022</t>
  </si>
  <si>
    <t>ALEMANA DE REPUESTOS - SUPER ARROZ</t>
  </si>
  <si>
    <t>ALUMINIOS CARTAB</t>
  </si>
  <si>
    <t>INGENIERIA POLIFASE</t>
  </si>
  <si>
    <t>SABADO 19 FEBRERO 2022</t>
  </si>
  <si>
    <t>M Y M ESPARTANOS</t>
  </si>
  <si>
    <t>SABADO 12 FEBRERO 2022</t>
  </si>
  <si>
    <t>LLAVES CONTROLES Y CHIPS - FAMA S.A.S</t>
  </si>
</sst>
</file>

<file path=xl/styles.xml><?xml version="1.0" encoding="utf-8"?>
<styleSheet xmlns="http://schemas.openxmlformats.org/spreadsheetml/2006/main">
  <numFmts count="5">
    <numFmt numFmtId="176" formatCode="_ * #,##0.00_ ;_ * \-#,##0.00_ ;_ * &quot;-&quot;??_ ;_ @_ "/>
    <numFmt numFmtId="177" formatCode="_ * #,##0_ ;_ * \-#,##0_ ;_ * &quot;-&quot;_ ;_ @_ 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8" formatCode="[$-C0A]d\-mmm\-yy;@"/>
  </numFmts>
  <fonts count="41">
    <font>
      <sz val="11"/>
      <color theme="1"/>
      <name val="Calibri"/>
      <charset val="134"/>
      <scheme val="minor"/>
    </font>
    <font>
      <sz val="15"/>
      <color rgb="FF0070C0"/>
      <name val="Calibri"/>
      <charset val="134"/>
      <scheme val="minor"/>
    </font>
    <font>
      <sz val="18"/>
      <color rgb="FF0070C0"/>
      <name val="Calibri"/>
      <charset val="134"/>
      <scheme val="minor"/>
    </font>
    <font>
      <b/>
      <sz val="15"/>
      <color rgb="FFFF0000"/>
      <name val="Calibri"/>
      <charset val="134"/>
      <scheme val="minor"/>
    </font>
    <font>
      <b/>
      <sz val="15"/>
      <color rgb="FF0070C0"/>
      <name val="Calibri"/>
      <charset val="134"/>
      <scheme val="minor"/>
    </font>
    <font>
      <b/>
      <sz val="12"/>
      <color rgb="FF0070C0"/>
      <name val="Calibri"/>
      <charset val="134"/>
      <scheme val="minor"/>
    </font>
    <font>
      <b/>
      <sz val="13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36"/>
      <color theme="1"/>
      <name val="Calibri"/>
      <charset val="134"/>
      <scheme val="minor"/>
    </font>
    <font>
      <b/>
      <sz val="14"/>
      <color rgb="FF000000"/>
      <name val="Calibri"/>
      <charset val="134"/>
      <scheme val="minor"/>
    </font>
    <font>
      <b/>
      <sz val="1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1"/>
      <color rgb="FF000000"/>
      <name val="Calibri"/>
      <charset val="134"/>
    </font>
    <font>
      <b/>
      <sz val="11"/>
      <color theme="0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6"/>
      <color rgb="FFFF0000"/>
      <name val="Calibri"/>
      <charset val="134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theme="4" tint="0.599993896298105"/>
        <bgColor theme="4" tint="0.599993896298105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</fills>
  <borders count="62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/>
      <diagonal/>
    </border>
    <border>
      <left/>
      <right/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n">
        <color theme="0"/>
      </right>
      <top style="thick">
        <color theme="0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21" fillId="15" borderId="0" applyNumberFormat="0" applyBorder="0" applyAlignment="0" applyProtection="0">
      <alignment vertical="center"/>
    </xf>
    <xf numFmtId="176" fontId="23" fillId="0" borderId="0" applyFont="0" applyFill="0" applyBorder="0" applyAlignment="0" applyProtection="0">
      <alignment vertical="center"/>
    </xf>
    <xf numFmtId="177" fontId="23" fillId="0" borderId="0" applyFont="0" applyFill="0" applyBorder="0" applyAlignment="0" applyProtection="0">
      <alignment vertical="center"/>
    </xf>
    <xf numFmtId="42" fontId="23" fillId="0" borderId="0" applyFont="0" applyFill="0" applyBorder="0" applyAlignment="0" applyProtection="0">
      <alignment vertical="center"/>
    </xf>
    <xf numFmtId="44" fontId="23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0" fillId="14" borderId="54" applyNumberFormat="0" applyAlignment="0" applyProtection="0">
      <alignment vertical="center"/>
    </xf>
    <xf numFmtId="0" fontId="26" fillId="0" borderId="55" applyNumberFormat="0" applyFill="0" applyAlignment="0" applyProtection="0">
      <alignment vertical="center"/>
    </xf>
    <xf numFmtId="0" fontId="23" fillId="25" borderId="56" applyNumberFormat="0" applyFont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55" applyNumberFormat="0" applyFill="0" applyAlignment="0" applyProtection="0">
      <alignment vertical="center"/>
    </xf>
    <xf numFmtId="0" fontId="31" fillId="0" borderId="5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4" fillId="27" borderId="60" applyNumberFormat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35" fillId="28" borderId="0" applyNumberFormat="0" applyBorder="0" applyAlignment="0" applyProtection="0">
      <alignment vertical="center"/>
    </xf>
    <xf numFmtId="0" fontId="37" fillId="30" borderId="61" applyNumberFormat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39" fillId="30" borderId="60" applyNumberFormat="0" applyAlignment="0" applyProtection="0">
      <alignment vertical="center"/>
    </xf>
    <xf numFmtId="0" fontId="33" fillId="0" borderId="59" applyNumberFormat="0" applyFill="0" applyAlignment="0" applyProtection="0">
      <alignment vertical="center"/>
    </xf>
    <xf numFmtId="0" fontId="32" fillId="0" borderId="58" applyNumberFormat="0" applyFill="0" applyAlignment="0" applyProtection="0">
      <alignment vertical="center"/>
    </xf>
    <xf numFmtId="0" fontId="36" fillId="29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9" borderId="0" applyNumberFormat="0" applyBorder="0" applyAlignment="0" applyProtection="0">
      <alignment vertical="center"/>
    </xf>
    <xf numFmtId="0" fontId="21" fillId="40" borderId="0" applyNumberFormat="0" applyBorder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38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2" fillId="42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1" fillId="4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</cellStyleXfs>
  <cellXfs count="265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" fillId="2" borderId="6" xfId="0" applyFont="1" applyFill="1" applyBorder="1"/>
    <xf numFmtId="0" fontId="4" fillId="4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left" vertical="center"/>
    </xf>
    <xf numFmtId="0" fontId="1" fillId="4" borderId="0" xfId="0" applyFont="1" applyFill="1"/>
    <xf numFmtId="0" fontId="1" fillId="2" borderId="0" xfId="0" applyFont="1" applyFill="1" applyBorder="1"/>
    <xf numFmtId="0" fontId="3" fillId="3" borderId="8" xfId="0" applyFont="1" applyFill="1" applyBorder="1" applyAlignment="1">
      <alignment horizontal="center" vertical="center"/>
    </xf>
    <xf numFmtId="0" fontId="1" fillId="2" borderId="12" xfId="0" applyFont="1" applyFill="1" applyBorder="1"/>
    <xf numFmtId="0" fontId="3" fillId="3" borderId="1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" fontId="4" fillId="2" borderId="0" xfId="0" applyNumberFormat="1" applyFont="1" applyFill="1" applyAlignment="1">
      <alignment horizontal="center"/>
    </xf>
    <xf numFmtId="1" fontId="4" fillId="2" borderId="7" xfId="0" applyNumberFormat="1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vertical="center"/>
    </xf>
    <xf numFmtId="0" fontId="5" fillId="2" borderId="7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/>
    </xf>
    <xf numFmtId="0" fontId="4" fillId="2" borderId="12" xfId="0" applyFont="1" applyFill="1" applyBorder="1"/>
    <xf numFmtId="0" fontId="4" fillId="2" borderId="0" xfId="0" applyFont="1" applyFill="1"/>
    <xf numFmtId="0" fontId="3" fillId="3" borderId="0" xfId="0" applyFont="1" applyFill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vertical="center"/>
    </xf>
    <xf numFmtId="0" fontId="1" fillId="2" borderId="14" xfId="0" applyFont="1" applyFill="1" applyBorder="1"/>
    <xf numFmtId="0" fontId="3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3" fontId="1" fillId="5" borderId="16" xfId="0" applyNumberFormat="1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49" fontId="5" fillId="2" borderId="5" xfId="0" applyNumberFormat="1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vertic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vertical="center"/>
    </xf>
    <xf numFmtId="0" fontId="9" fillId="2" borderId="1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10" fillId="2" borderId="0" xfId="0" applyFont="1" applyFill="1" applyBorder="1" applyAlignment="1">
      <alignment vertical="center"/>
    </xf>
    <xf numFmtId="0" fontId="11" fillId="6" borderId="24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7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11" fillId="6" borderId="28" xfId="0" applyFon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0" xfId="0" applyFill="1" applyBorder="1" applyAlignment="1">
      <alignment horizontal="center" vertical="center"/>
    </xf>
    <xf numFmtId="0" fontId="11" fillId="6" borderId="31" xfId="0" applyFont="1" applyFill="1" applyBorder="1" applyAlignment="1">
      <alignment horizontal="center" vertical="center"/>
    </xf>
    <xf numFmtId="0" fontId="11" fillId="6" borderId="32" xfId="0" applyFont="1" applyFill="1" applyBorder="1" applyAlignment="1">
      <alignment horizontal="center" vertical="center"/>
    </xf>
    <xf numFmtId="0" fontId="11" fillId="6" borderId="33" xfId="0" applyFont="1" applyFill="1" applyBorder="1" applyAlignment="1">
      <alignment horizontal="center" vertical="center"/>
    </xf>
    <xf numFmtId="0" fontId="0" fillId="2" borderId="20" xfId="0" applyFill="1" applyBorder="1" applyAlignment="1">
      <alignment vertical="center"/>
    </xf>
    <xf numFmtId="0" fontId="0" fillId="2" borderId="3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34" xfId="0" applyFill="1" applyBorder="1" applyAlignment="1">
      <alignment vertical="center"/>
    </xf>
    <xf numFmtId="0" fontId="0" fillId="2" borderId="31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2" borderId="36" xfId="0" applyFill="1" applyBorder="1" applyAlignment="1">
      <alignment vertical="center"/>
    </xf>
    <xf numFmtId="0" fontId="0" fillId="2" borderId="23" xfId="0" applyFill="1" applyBorder="1" applyAlignment="1">
      <alignment vertical="center"/>
    </xf>
    <xf numFmtId="0" fontId="0" fillId="2" borderId="37" xfId="0" applyFill="1" applyBorder="1" applyAlignment="1">
      <alignment horizontal="center" vertical="center"/>
    </xf>
    <xf numFmtId="0" fontId="0" fillId="2" borderId="38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0" borderId="0" xfId="0" applyFill="1" applyProtection="1"/>
    <xf numFmtId="0" fontId="0" fillId="0" borderId="0" xfId="0" applyFill="1" applyAlignment="1" applyProtection="1">
      <alignment horizontal="center"/>
    </xf>
    <xf numFmtId="0" fontId="12" fillId="6" borderId="39" xfId="0" applyFont="1" applyFill="1" applyBorder="1" applyAlignment="1" applyProtection="1">
      <alignment horizontal="center"/>
    </xf>
    <xf numFmtId="0" fontId="12" fillId="6" borderId="40" xfId="0" applyFont="1" applyFill="1" applyBorder="1" applyAlignment="1" applyProtection="1">
      <alignment horizontal="center"/>
    </xf>
    <xf numFmtId="0" fontId="12" fillId="6" borderId="18" xfId="0" applyFont="1" applyFill="1" applyBorder="1" applyAlignment="1" applyProtection="1">
      <alignment horizontal="center"/>
    </xf>
    <xf numFmtId="0" fontId="12" fillId="6" borderId="33" xfId="0" applyFont="1" applyFill="1" applyBorder="1" applyAlignment="1" applyProtection="1">
      <alignment horizontal="center"/>
    </xf>
    <xf numFmtId="0" fontId="12" fillId="6" borderId="41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2" fillId="0" borderId="0" xfId="0" applyFont="1" applyFill="1" applyBorder="1" applyAlignment="1" applyProtection="1">
      <alignment horizontal="center"/>
    </xf>
    <xf numFmtId="0" fontId="12" fillId="6" borderId="42" xfId="0" applyFont="1" applyFill="1" applyBorder="1" applyAlignment="1" applyProtection="1">
      <alignment horizontal="center"/>
    </xf>
    <xf numFmtId="1" fontId="12" fillId="0" borderId="33" xfId="0" applyNumberFormat="1" applyFont="1" applyFill="1" applyBorder="1" applyAlignment="1" applyProtection="1">
      <alignment horizontal="center"/>
    </xf>
    <xf numFmtId="0" fontId="8" fillId="0" borderId="43" xfId="0" applyFont="1" applyBorder="1" applyAlignment="1" applyProtection="1">
      <alignment horizontal="center" vertical="center"/>
    </xf>
    <xf numFmtId="0" fontId="8" fillId="6" borderId="43" xfId="0" applyFont="1" applyFill="1" applyBorder="1" applyAlignment="1" applyProtection="1">
      <alignment horizontal="center" vertical="center"/>
    </xf>
    <xf numFmtId="0" fontId="8" fillId="0" borderId="44" xfId="0" applyFont="1" applyBorder="1" applyAlignment="1" applyProtection="1">
      <alignment horizontal="center"/>
    </xf>
    <xf numFmtId="0" fontId="8" fillId="0" borderId="45" xfId="0" applyFont="1" applyBorder="1" applyAlignment="1" applyProtection="1">
      <alignment horizontal="center"/>
    </xf>
    <xf numFmtId="0" fontId="8" fillId="0" borderId="46" xfId="0" applyFont="1" applyBorder="1" applyAlignment="1" applyProtection="1">
      <alignment horizontal="center" vertical="center"/>
    </xf>
    <xf numFmtId="0" fontId="8" fillId="6" borderId="46" xfId="0" applyFont="1" applyFill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/>
    </xf>
    <xf numFmtId="1" fontId="0" fillId="0" borderId="44" xfId="0" applyNumberFormat="1" applyFont="1" applyBorder="1" applyAlignment="1" applyProtection="1">
      <alignment horizontal="center"/>
    </xf>
    <xf numFmtId="1" fontId="0" fillId="0" borderId="47" xfId="0" applyNumberFormat="1" applyFont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 vertical="center"/>
    </xf>
    <xf numFmtId="0" fontId="8" fillId="0" borderId="16" xfId="0" applyFont="1" applyBorder="1" applyAlignment="1" applyProtection="1">
      <alignment horizontal="center" vertical="center"/>
    </xf>
    <xf numFmtId="0" fontId="0" fillId="7" borderId="44" xfId="0" applyFont="1" applyFill="1" applyBorder="1" applyAlignment="1" applyProtection="1">
      <alignment horizontal="center" vertical="center"/>
    </xf>
    <xf numFmtId="0" fontId="0" fillId="7" borderId="45" xfId="0" applyFont="1" applyFill="1" applyBorder="1" applyAlignment="1" applyProtection="1">
      <alignment horizontal="center" vertical="center"/>
    </xf>
    <xf numFmtId="16" fontId="0" fillId="0" borderId="16" xfId="0" applyNumberFormat="1" applyFill="1" applyBorder="1" applyAlignment="1" applyProtection="1">
      <alignment horizontal="center"/>
      <protection locked="0"/>
    </xf>
    <xf numFmtId="1" fontId="0" fillId="0" borderId="16" xfId="0" applyNumberFormat="1" applyFill="1" applyBorder="1" applyAlignment="1" applyProtection="1">
      <alignment horizontal="center"/>
      <protection locked="0"/>
    </xf>
    <xf numFmtId="1" fontId="0" fillId="0" borderId="16" xfId="0" applyNumberFormat="1" applyFont="1" applyFill="1" applyBorder="1" applyAlignment="1" applyProtection="1">
      <alignment horizontal="center"/>
      <protection locked="0"/>
    </xf>
    <xf numFmtId="0" fontId="8" fillId="0" borderId="47" xfId="0" applyFont="1" applyBorder="1" applyAlignment="1" applyProtection="1">
      <alignment horizontal="center"/>
    </xf>
    <xf numFmtId="1" fontId="0" fillId="0" borderId="16" xfId="0" applyNumberFormat="1" applyFont="1" applyBorder="1" applyAlignment="1" applyProtection="1">
      <alignment horizontal="center"/>
    </xf>
    <xf numFmtId="16" fontId="0" fillId="0" borderId="16" xfId="0" applyNumberFormat="1" applyFont="1" applyBorder="1" applyAlignment="1" applyProtection="1">
      <alignment horizontal="center"/>
    </xf>
    <xf numFmtId="0" fontId="0" fillId="7" borderId="47" xfId="0" applyFont="1" applyFill="1" applyBorder="1" applyAlignment="1" applyProtection="1">
      <alignment horizontal="center" vertical="center"/>
    </xf>
    <xf numFmtId="16" fontId="0" fillId="0" borderId="16" xfId="0" applyNumberFormat="1" applyBorder="1" applyAlignment="1" applyProtection="1">
      <alignment horizontal="center" vertical="center"/>
    </xf>
    <xf numFmtId="1" fontId="0" fillId="0" borderId="16" xfId="0" applyNumberFormat="1" applyBorder="1" applyAlignment="1" applyProtection="1">
      <alignment horizontal="center" vertical="center"/>
    </xf>
    <xf numFmtId="1" fontId="0" fillId="0" borderId="16" xfId="0" applyNumberFormat="1" applyFont="1" applyFill="1" applyBorder="1" applyAlignment="1" applyProtection="1">
      <alignment horizontal="center"/>
    </xf>
    <xf numFmtId="16" fontId="0" fillId="0" borderId="16" xfId="0" applyNumberFormat="1" applyFont="1" applyFill="1" applyBorder="1" applyAlignment="1" applyProtection="1">
      <alignment horizontal="center" vertical="center"/>
    </xf>
    <xf numFmtId="1" fontId="0" fillId="0" borderId="16" xfId="0" applyNumberFormat="1" applyFont="1" applyFill="1" applyBorder="1" applyAlignment="1" applyProtection="1">
      <alignment horizontal="center" vertical="center"/>
    </xf>
    <xf numFmtId="1" fontId="0" fillId="0" borderId="16" xfId="0" applyNumberFormat="1" applyFill="1" applyBorder="1" applyAlignment="1" applyProtection="1">
      <alignment horizontal="center"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24" xfId="0" applyFill="1" applyBorder="1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31" xfId="0" applyFill="1" applyBorder="1" applyAlignment="1" applyProtection="1">
      <alignment vertical="center"/>
    </xf>
    <xf numFmtId="0" fontId="0" fillId="2" borderId="25" xfId="0" applyFill="1" applyBorder="1" applyAlignment="1" applyProtection="1">
      <alignment vertical="center"/>
    </xf>
    <xf numFmtId="0" fontId="0" fillId="2" borderId="26" xfId="0" applyFill="1" applyBorder="1" applyAlignment="1" applyProtection="1">
      <alignment vertical="center"/>
    </xf>
    <xf numFmtId="0" fontId="8" fillId="4" borderId="41" xfId="0" applyFont="1" applyFill="1" applyBorder="1" applyAlignment="1" applyProtection="1">
      <alignment horizontal="center" vertical="center"/>
    </xf>
    <xf numFmtId="0" fontId="8" fillId="2" borderId="0" xfId="0" applyFont="1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vertical="center"/>
    </xf>
    <xf numFmtId="0" fontId="0" fillId="6" borderId="17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8" fillId="2" borderId="18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0" fillId="2" borderId="48" xfId="0" applyFill="1" applyBorder="1" applyAlignment="1" applyProtection="1">
      <alignment vertical="center"/>
    </xf>
    <xf numFmtId="0" fontId="0" fillId="2" borderId="49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32" xfId="0" applyFill="1" applyBorder="1" applyAlignment="1" applyProtection="1">
      <alignment vertical="center"/>
    </xf>
    <xf numFmtId="0" fontId="0" fillId="2" borderId="33" xfId="0" applyFill="1" applyBorder="1" applyAlignment="1" applyProtection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12" fillId="8" borderId="41" xfId="0" applyFont="1" applyFill="1" applyBorder="1" applyAlignment="1">
      <alignment horizontal="center" vertical="center"/>
    </xf>
    <xf numFmtId="0" fontId="12" fillId="8" borderId="18" xfId="0" applyFont="1" applyFill="1" applyBorder="1" applyAlignment="1">
      <alignment horizontal="center" vertical="center"/>
    </xf>
    <xf numFmtId="0" fontId="12" fillId="8" borderId="39" xfId="0" applyFont="1" applyFill="1" applyBorder="1" applyAlignment="1">
      <alignment horizontal="center"/>
    </xf>
    <xf numFmtId="0" fontId="12" fillId="8" borderId="40" xfId="0" applyFont="1" applyFill="1" applyBorder="1" applyAlignment="1">
      <alignment horizontal="center"/>
    </xf>
    <xf numFmtId="0" fontId="12" fillId="8" borderId="18" xfId="0" applyFont="1" applyFill="1" applyBorder="1" applyAlignment="1">
      <alignment horizontal="center"/>
    </xf>
    <xf numFmtId="0" fontId="12" fillId="8" borderId="33" xfId="0" applyFont="1" applyFill="1" applyBorder="1" applyAlignment="1">
      <alignment horizontal="center"/>
    </xf>
    <xf numFmtId="0" fontId="12" fillId="0" borderId="33" xfId="0" applyFont="1" applyFill="1" applyBorder="1" applyAlignment="1">
      <alignment horizontal="center" vertical="center"/>
    </xf>
    <xf numFmtId="0" fontId="12" fillId="0" borderId="33" xfId="0" applyFont="1" applyFill="1" applyBorder="1" applyAlignment="1">
      <alignment horizontal="center"/>
    </xf>
    <xf numFmtId="0" fontId="12" fillId="0" borderId="33" xfId="0" applyFont="1" applyFill="1" applyBorder="1" applyAlignment="1">
      <alignment horizontal="center" vertical="center" wrapText="1"/>
    </xf>
    <xf numFmtId="0" fontId="12" fillId="0" borderId="33" xfId="0" applyFont="1" applyFill="1" applyBorder="1" applyAlignment="1">
      <alignment horizontal="center" wrapText="1"/>
    </xf>
    <xf numFmtId="0" fontId="12" fillId="8" borderId="42" xfId="0" applyFont="1" applyFill="1" applyBorder="1" applyAlignment="1">
      <alignment horizontal="center"/>
    </xf>
    <xf numFmtId="2" fontId="12" fillId="0" borderId="33" xfId="0" applyNumberFormat="1" applyFont="1" applyFill="1" applyBorder="1" applyAlignment="1">
      <alignment horizontal="center"/>
    </xf>
    <xf numFmtId="15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78" fontId="14" fillId="6" borderId="0" xfId="0" applyNumberFormat="1" applyFont="1" applyFill="1" applyAlignment="1" applyProtection="1">
      <alignment horizontal="center" vertical="center"/>
      <protection locked="0"/>
    </xf>
    <xf numFmtId="3" fontId="0" fillId="0" borderId="0" xfId="0" applyNumberFormat="1" applyProtection="1"/>
    <xf numFmtId="9" fontId="0" fillId="0" borderId="0" xfId="6" applyFont="1" applyProtection="1"/>
    <xf numFmtId="15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3" fontId="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5" fontId="16" fillId="0" borderId="0" xfId="0" applyNumberFormat="1" applyFont="1" applyFill="1" applyAlignment="1" applyProtection="1">
      <alignment horizontal="center"/>
      <protection locked="0"/>
    </xf>
    <xf numFmtId="3" fontId="16" fillId="0" borderId="0" xfId="0" applyNumberFormat="1" applyFont="1" applyFill="1" applyAlignment="1" applyProtection="1">
      <alignment horizontal="center"/>
      <protection locked="0"/>
    </xf>
    <xf numFmtId="0" fontId="16" fillId="0" borderId="0" xfId="0" applyFont="1" applyFill="1" applyProtection="1"/>
    <xf numFmtId="3" fontId="16" fillId="0" borderId="0" xfId="0" applyNumberFormat="1" applyFont="1" applyFill="1" applyProtection="1">
      <protection locked="0"/>
    </xf>
    <xf numFmtId="3" fontId="16" fillId="0" borderId="0" xfId="0" applyNumberFormat="1" applyFont="1" applyProtection="1">
      <protection locked="0"/>
    </xf>
    <xf numFmtId="15" fontId="16" fillId="0" borderId="0" xfId="0" applyNumberFormat="1" applyFont="1" applyProtection="1">
      <protection locked="0"/>
    </xf>
    <xf numFmtId="0" fontId="16" fillId="0" borderId="0" xfId="0" applyFont="1" applyAlignment="1" applyProtection="1">
      <alignment horizontal="center"/>
      <protection locked="0"/>
    </xf>
    <xf numFmtId="15" fontId="16" fillId="0" borderId="0" xfId="0" applyNumberFormat="1" applyFont="1" applyAlignment="1" applyProtection="1">
      <alignment horizontal="center"/>
      <protection locked="0"/>
    </xf>
    <xf numFmtId="15" fontId="16" fillId="9" borderId="0" xfId="0" applyNumberFormat="1" applyFont="1" applyFill="1" applyAlignment="1" applyProtection="1">
      <alignment horizontal="center"/>
      <protection locked="0"/>
    </xf>
    <xf numFmtId="3" fontId="16" fillId="9" borderId="0" xfId="0" applyNumberFormat="1" applyFont="1" applyFill="1" applyAlignment="1" applyProtection="1">
      <alignment horizontal="center"/>
      <protection locked="0"/>
    </xf>
    <xf numFmtId="0" fontId="16" fillId="9" borderId="0" xfId="0" applyFont="1" applyFill="1" applyProtection="1"/>
    <xf numFmtId="3" fontId="16" fillId="0" borderId="0" xfId="0" applyNumberFormat="1" applyFont="1" applyAlignment="1" applyProtection="1">
      <alignment horizontal="center"/>
      <protection locked="0"/>
    </xf>
    <xf numFmtId="0" fontId="16" fillId="0" borderId="0" xfId="0" applyFont="1" applyProtection="1"/>
    <xf numFmtId="2" fontId="0" fillId="0" borderId="0" xfId="0" applyNumberFormat="1" applyFill="1" applyAlignment="1" applyProtection="1">
      <alignment horizontal="center"/>
    </xf>
    <xf numFmtId="0" fontId="12" fillId="6" borderId="24" xfId="0" applyFont="1" applyFill="1" applyBorder="1" applyAlignment="1" applyProtection="1">
      <alignment horizontal="center" vertical="center"/>
    </xf>
    <xf numFmtId="0" fontId="12" fillId="6" borderId="31" xfId="0" applyFont="1" applyFill="1" applyBorder="1" applyAlignment="1" applyProtection="1">
      <alignment horizontal="center" vertical="center"/>
    </xf>
    <xf numFmtId="0" fontId="12" fillId="6" borderId="25" xfId="0" applyFont="1" applyFill="1" applyBorder="1" applyAlignment="1" applyProtection="1">
      <alignment horizontal="center" vertical="center"/>
    </xf>
    <xf numFmtId="0" fontId="12" fillId="6" borderId="32" xfId="0" applyFont="1" applyFill="1" applyBorder="1" applyAlignment="1" applyProtection="1">
      <alignment horizontal="center" vertical="center"/>
    </xf>
    <xf numFmtId="0" fontId="12" fillId="6" borderId="50" xfId="0" applyFont="1" applyFill="1" applyBorder="1" applyAlignment="1" applyProtection="1">
      <alignment horizontal="center"/>
    </xf>
    <xf numFmtId="2" fontId="12" fillId="6" borderId="50" xfId="0" applyNumberFormat="1" applyFont="1" applyFill="1" applyBorder="1" applyAlignment="1" applyProtection="1">
      <alignment horizontal="center"/>
    </xf>
    <xf numFmtId="0" fontId="12" fillId="0" borderId="33" xfId="0" applyFont="1" applyBorder="1" applyAlignment="1" applyProtection="1">
      <alignment horizontal="center" vertical="center" wrapText="1"/>
    </xf>
    <xf numFmtId="1" fontId="12" fillId="0" borderId="33" xfId="0" applyNumberFormat="1" applyFont="1" applyBorder="1" applyAlignment="1" applyProtection="1">
      <alignment horizontal="center" vertical="center" wrapText="1"/>
    </xf>
    <xf numFmtId="2" fontId="12" fillId="0" borderId="33" xfId="0" applyNumberFormat="1" applyFont="1" applyFill="1" applyBorder="1" applyAlignment="1" applyProtection="1">
      <alignment horizontal="center"/>
    </xf>
    <xf numFmtId="0" fontId="12" fillId="6" borderId="26" xfId="0" applyFont="1" applyFill="1" applyBorder="1" applyAlignment="1" applyProtection="1">
      <alignment horizontal="center" vertical="center"/>
    </xf>
    <xf numFmtId="0" fontId="12" fillId="6" borderId="33" xfId="0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/>
    </xf>
    <xf numFmtId="1" fontId="0" fillId="0" borderId="0" xfId="0" applyNumberFormat="1" applyFont="1" applyAlignment="1">
      <alignment horizontal="center"/>
    </xf>
    <xf numFmtId="16" fontId="0" fillId="0" borderId="0" xfId="0" applyNumberFormat="1" applyFont="1" applyAlignment="1">
      <alignment horizontal="center"/>
    </xf>
    <xf numFmtId="16" fontId="17" fillId="0" borderId="0" xfId="0" applyNumberFormat="1" applyFont="1" applyFill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0" fontId="0" fillId="0" borderId="3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1" fontId="0" fillId="0" borderId="44" xfId="0" applyNumberFormat="1" applyFont="1" applyBorder="1" applyAlignment="1">
      <alignment horizontal="center"/>
    </xf>
    <xf numFmtId="1" fontId="0" fillId="0" borderId="47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8" fillId="10" borderId="16" xfId="0" applyFont="1" applyFill="1" applyBorder="1" applyAlignment="1">
      <alignment horizontal="center" vertical="center"/>
    </xf>
    <xf numFmtId="0" fontId="0" fillId="7" borderId="16" xfId="0" applyFont="1" applyFill="1" applyBorder="1" applyAlignment="1">
      <alignment horizontal="center" vertical="center"/>
    </xf>
    <xf numFmtId="16" fontId="0" fillId="10" borderId="16" xfId="0" applyNumberFormat="1" applyFill="1" applyBorder="1" applyAlignment="1" applyProtection="1">
      <alignment horizontal="center"/>
      <protection locked="0"/>
    </xf>
    <xf numFmtId="1" fontId="0" fillId="10" borderId="16" xfId="0" applyNumberFormat="1" applyFill="1" applyBorder="1" applyAlignment="1" applyProtection="1">
      <alignment horizontal="center"/>
      <protection locked="0"/>
    </xf>
    <xf numFmtId="1" fontId="0" fillId="10" borderId="16" xfId="0" applyNumberFormat="1" applyFont="1" applyFill="1" applyBorder="1" applyAlignment="1" applyProtection="1">
      <alignment horizontal="center"/>
      <protection locked="0"/>
    </xf>
    <xf numFmtId="0" fontId="8" fillId="0" borderId="16" xfId="0" applyFont="1" applyFill="1" applyBorder="1" applyAlignment="1">
      <alignment horizontal="center" vertical="center"/>
    </xf>
    <xf numFmtId="16" fontId="0" fillId="0" borderId="16" xfId="0" applyNumberFormat="1" applyFont="1" applyFill="1" applyBorder="1" applyAlignment="1" applyProtection="1">
      <alignment horizontal="center"/>
      <protection locked="0"/>
    </xf>
    <xf numFmtId="16" fontId="0" fillId="0" borderId="16" xfId="0" applyNumberFormat="1" applyFont="1" applyBorder="1" applyAlignment="1">
      <alignment horizontal="center"/>
    </xf>
    <xf numFmtId="16" fontId="0" fillId="10" borderId="16" xfId="0" applyNumberFormat="1" applyFill="1" applyBorder="1" applyAlignment="1">
      <alignment horizontal="center" vertical="center"/>
    </xf>
    <xf numFmtId="1" fontId="0" fillId="10" borderId="16" xfId="0" applyNumberFormat="1" applyFill="1" applyBorder="1" applyAlignment="1">
      <alignment horizontal="center" vertical="center"/>
    </xf>
    <xf numFmtId="1" fontId="0" fillId="10" borderId="16" xfId="0" applyNumberFormat="1" applyFont="1" applyFill="1" applyBorder="1" applyAlignment="1">
      <alignment horizontal="center"/>
    </xf>
    <xf numFmtId="16" fontId="0" fillId="0" borderId="16" xfId="0" applyNumberFormat="1" applyFont="1" applyFill="1" applyBorder="1" applyAlignment="1">
      <alignment horizontal="center" vertical="center"/>
    </xf>
    <xf numFmtId="1" fontId="0" fillId="0" borderId="16" xfId="0" applyNumberFormat="1" applyFont="1" applyFill="1" applyBorder="1" applyAlignment="1">
      <alignment horizontal="center" vertical="center"/>
    </xf>
    <xf numFmtId="1" fontId="0" fillId="0" borderId="16" xfId="0" applyNumberFormat="1" applyFill="1" applyBorder="1" applyAlignment="1">
      <alignment horizontal="center" vertical="center"/>
    </xf>
    <xf numFmtId="1" fontId="0" fillId="10" borderId="16" xfId="0" applyNumberFormat="1" applyFont="1" applyFill="1" applyBorder="1" applyAlignment="1">
      <alignment horizontal="center" vertical="center"/>
    </xf>
    <xf numFmtId="16" fontId="0" fillId="10" borderId="16" xfId="0" applyNumberFormat="1" applyFont="1" applyFill="1" applyBorder="1" applyAlignment="1">
      <alignment horizontal="center" vertical="center"/>
    </xf>
    <xf numFmtId="1" fontId="0" fillId="0" borderId="16" xfId="0" applyNumberFormat="1" applyFont="1" applyFill="1" applyBorder="1" applyAlignment="1">
      <alignment horizontal="center"/>
    </xf>
    <xf numFmtId="1" fontId="0" fillId="0" borderId="16" xfId="0" applyNumberFormat="1" applyBorder="1" applyAlignment="1">
      <alignment horizontal="center" vertical="center"/>
    </xf>
    <xf numFmtId="0" fontId="18" fillId="0" borderId="16" xfId="0" applyFont="1" applyFill="1" applyBorder="1" applyAlignment="1">
      <alignment horizontal="center"/>
    </xf>
    <xf numFmtId="16" fontId="17" fillId="0" borderId="16" xfId="0" applyNumberFormat="1" applyFont="1" applyFill="1" applyBorder="1" applyAlignment="1">
      <alignment horizontal="center"/>
    </xf>
    <xf numFmtId="1" fontId="17" fillId="0" borderId="44" xfId="0" applyNumberFormat="1" applyFont="1" applyFill="1" applyBorder="1" applyAlignment="1">
      <alignment horizontal="center"/>
    </xf>
    <xf numFmtId="1" fontId="17" fillId="0" borderId="47" xfId="0" applyNumberFormat="1" applyFont="1" applyFill="1" applyBorder="1" applyAlignment="1">
      <alignment horizontal="center"/>
    </xf>
    <xf numFmtId="1" fontId="17" fillId="0" borderId="16" xfId="0" applyNumberFormat="1" applyFont="1" applyFill="1" applyBorder="1" applyAlignment="1">
      <alignment horizontal="center" vertical="center"/>
    </xf>
    <xf numFmtId="16" fontId="17" fillId="0" borderId="16" xfId="0" applyNumberFormat="1" applyFont="1" applyFill="1" applyBorder="1" applyAlignment="1">
      <alignment horizontal="center" vertical="center"/>
    </xf>
    <xf numFmtId="0" fontId="17" fillId="11" borderId="16" xfId="0" applyFont="1" applyFill="1" applyBorder="1" applyAlignment="1">
      <alignment horizontal="center" vertical="center"/>
    </xf>
    <xf numFmtId="16" fontId="17" fillId="0" borderId="16" xfId="0" applyNumberFormat="1" applyFont="1" applyFill="1" applyBorder="1" applyAlignment="1" applyProtection="1">
      <alignment horizontal="center" vertical="center"/>
      <protection locked="0"/>
    </xf>
    <xf numFmtId="1" fontId="17" fillId="0" borderId="16" xfId="0" applyNumberFormat="1" applyFont="1" applyFill="1" applyBorder="1" applyAlignment="1" applyProtection="1">
      <alignment horizontal="center" vertical="center"/>
      <protection locked="0"/>
    </xf>
    <xf numFmtId="1" fontId="17" fillId="0" borderId="16" xfId="0" applyNumberFormat="1" applyFont="1" applyFill="1" applyBorder="1" applyAlignment="1">
      <alignment horizontal="center"/>
    </xf>
    <xf numFmtId="0" fontId="17" fillId="11" borderId="44" xfId="0" applyFont="1" applyFill="1" applyBorder="1" applyAlignment="1">
      <alignment horizontal="center" vertical="center"/>
    </xf>
    <xf numFmtId="0" fontId="17" fillId="11" borderId="45" xfId="0" applyFont="1" applyFill="1" applyBorder="1" applyAlignment="1">
      <alignment horizontal="center" vertical="center"/>
    </xf>
    <xf numFmtId="0" fontId="17" fillId="11" borderId="47" xfId="0" applyFont="1" applyFill="1" applyBorder="1" applyAlignment="1">
      <alignment horizontal="center"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3" fontId="19" fillId="12" borderId="51" xfId="0" applyNumberFormat="1" applyFont="1" applyFill="1" applyBorder="1" applyAlignment="1">
      <alignment horizontal="center" vertical="center"/>
    </xf>
    <xf numFmtId="0" fontId="19" fillId="12" borderId="5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13" borderId="52" xfId="0" applyNumberFormat="1" applyFont="1" applyFill="1" applyBorder="1" applyAlignment="1">
      <alignment horizontal="right" vertical="center"/>
    </xf>
    <xf numFmtId="0" fontId="0" fillId="13" borderId="52" xfId="0" applyFont="1" applyFill="1" applyBorder="1" applyAlignment="1">
      <alignment horizontal="left" vertical="center" indent="1"/>
    </xf>
    <xf numFmtId="0" fontId="0" fillId="13" borderId="52" xfId="0" applyFont="1" applyFill="1" applyBorder="1" applyAlignment="1">
      <alignment horizontal="left" vertical="center"/>
    </xf>
    <xf numFmtId="15" fontId="0" fillId="13" borderId="52" xfId="0" applyNumberFormat="1" applyFont="1" applyFill="1" applyBorder="1" applyAlignment="1">
      <alignment horizontal="left" vertical="center"/>
    </xf>
    <xf numFmtId="15" fontId="0" fillId="13" borderId="52" xfId="0" applyNumberFormat="1" applyFill="1" applyBorder="1" applyAlignment="1">
      <alignment horizontal="left" vertical="center"/>
    </xf>
    <xf numFmtId="4" fontId="0" fillId="13" borderId="52" xfId="0" applyNumberFormat="1" applyFill="1" applyBorder="1" applyAlignment="1">
      <alignment horizontal="right" vertical="center"/>
    </xf>
    <xf numFmtId="15" fontId="0" fillId="13" borderId="53" xfId="0" applyNumberFormat="1" applyFill="1" applyBorder="1" applyAlignment="1">
      <alignment horizontal="left" vertical="center"/>
    </xf>
    <xf numFmtId="15" fontId="0" fillId="13" borderId="53" xfId="0" applyNumberFormat="1" applyFont="1" applyFill="1" applyBorder="1" applyAlignment="1">
      <alignment horizontal="left" vertical="center"/>
    </xf>
    <xf numFmtId="4" fontId="0" fillId="13" borderId="52" xfId="0" applyNumberFormat="1" applyFont="1" applyFill="1" applyBorder="1" applyAlignment="1">
      <alignment horizontal="right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50">
    <dxf>
      <font>
        <name val="Calibri"/>
        <scheme val="none"/>
        <family val="2"/>
        <b val="0"/>
        <i val="0"/>
        <strike val="0"/>
        <u val="none"/>
        <sz val="11"/>
        <color theme="1"/>
      </font>
      <numFmt numFmtId="3" formatCode="#,##0"/>
      <fill>
        <patternFill patternType="solid">
          <fgColor theme="4" tint="0.599993896298105"/>
          <bgColor theme="4" tint="0.599993896298105"/>
        </patternFill>
      </fill>
      <alignment horizontal="right" vertical="center"/>
      <border>
        <left style="thin">
          <color theme="0"/>
        </left>
        <right/>
        <top style="thick">
          <color theme="0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solid">
          <fgColor theme="4" tint="0.599993896298105"/>
          <bgColor theme="4" tint="0.599993896298105"/>
        </patternFill>
      </fill>
      <alignment horizontal="left" vertical="center" indent="1"/>
      <border>
        <left style="thin">
          <color theme="0"/>
        </left>
        <right/>
        <top style="thick">
          <color theme="0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solid">
          <fgColor theme="4" tint="0.599993896298105"/>
          <bgColor theme="4" tint="0.599993896298105"/>
        </patternFill>
      </fill>
      <alignment horizontal="left" vertical="center"/>
      <border>
        <left style="thin">
          <color theme="0"/>
        </left>
        <right/>
        <top style="thick">
          <color theme="0"/>
        </top>
        <bottom/>
      </border>
    </dxf>
    <dxf>
      <numFmt numFmtId="15" formatCode="d\-mmm\-yy"/>
      <alignment vertical="center"/>
    </dxf>
    <dxf>
      <numFmt numFmtId="15" formatCode="d\-mmm\-yy"/>
      <fill>
        <patternFill patternType="solid">
          <fgColor theme="4" tint="0.599993896298105"/>
          <bgColor theme="4" tint="0.599993896298105"/>
        </patternFill>
      </fill>
      <alignment horizontal="left" vertical="center"/>
      <border>
        <left style="thin">
          <color theme="0"/>
        </left>
        <right style="thin">
          <color theme="0"/>
        </right>
        <top style="thick">
          <color theme="0"/>
        </top>
        <bottom/>
      </border>
    </dxf>
    <dxf>
      <numFmt numFmtId="4" formatCode="#,##0.00"/>
      <fill>
        <patternFill patternType="solid">
          <fgColor theme="4" tint="0.599993896298105"/>
          <bgColor theme="4" tint="0.599993896298105"/>
        </patternFill>
      </fill>
      <alignment horizontal="right" vertical="center"/>
      <border>
        <left style="thin">
          <color theme="0"/>
        </left>
        <right/>
        <top style="thick">
          <color theme="0"/>
        </top>
        <bottom/>
      </border>
    </dxf>
    <dxf>
      <fill>
        <patternFill patternType="solid">
          <bgColor rgb="FFFFC7CE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50"/>
        </patternFill>
      </fill>
    </dxf>
    <dxf>
      <font>
        <name val="Calibri"/>
        <scheme val="none"/>
        <family val="2"/>
        <b val="0"/>
        <i val="0"/>
        <strike val="0"/>
        <u val="none"/>
        <sz val="10"/>
        <color theme="1"/>
      </font>
      <numFmt numFmtId="15" formatCode="d\-mmm\-yy"/>
      <fill>
        <patternFill patternType="none"/>
      </fill>
      <alignment horizontal="center"/>
      <protection locked="0"/>
    </dxf>
    <dxf>
      <font>
        <name val="Calibri"/>
        <scheme val="none"/>
        <family val="2"/>
        <b val="0"/>
        <i val="0"/>
        <strike val="0"/>
        <u val="none"/>
        <sz val="10"/>
        <color theme="1"/>
      </font>
      <numFmt numFmtId="3" formatCode="#,##0"/>
      <fill>
        <patternFill patternType="none"/>
      </fill>
      <alignment horizontal="center"/>
      <protection locked="0"/>
    </dxf>
    <dxf>
      <font>
        <name val="Calibri"/>
        <scheme val="none"/>
        <family val="2"/>
        <strike val="0"/>
        <u val="none"/>
        <sz val="10"/>
        <color theme="1"/>
      </font>
      <fill>
        <patternFill patternType="none"/>
      </fill>
    </dxf>
    <dxf>
      <font>
        <name val="Calibri"/>
        <scheme val="none"/>
        <family val="2"/>
        <strike val="0"/>
        <u val="none"/>
        <sz val="10"/>
        <color theme="1"/>
      </font>
      <fill>
        <patternFill patternType="none"/>
      </fill>
    </dxf>
    <dxf>
      <font>
        <name val="Calibri"/>
        <scheme val="none"/>
        <family val="2"/>
        <b val="0"/>
        <i val="0"/>
        <strike val="0"/>
        <u val="none"/>
        <sz val="10"/>
        <color theme="1"/>
      </font>
      <numFmt numFmtId="3" formatCode="#,##0"/>
      <fill>
        <patternFill patternType="none"/>
      </fill>
      <protection locked="0"/>
    </dxf>
    <dxf>
      <font>
        <name val="Calibri"/>
        <scheme val="none"/>
        <family val="2"/>
        <b val="0"/>
        <i val="0"/>
        <strike val="0"/>
        <u val="none"/>
        <sz val="10"/>
        <color theme="1"/>
      </font>
      <numFmt numFmtId="3" formatCode="#,##0"/>
      <protection locked="0"/>
    </dxf>
    <dxf>
      <font>
        <name val="Calibri"/>
        <scheme val="none"/>
        <family val="2"/>
        <strike val="0"/>
        <u val="none"/>
        <sz val="10"/>
        <color theme="1"/>
      </font>
      <protection locked="0"/>
    </dxf>
    <dxf>
      <font>
        <name val="Calibri"/>
        <scheme val="none"/>
        <family val="2"/>
        <strike val="0"/>
        <u val="none"/>
        <sz val="10"/>
        <color theme="1"/>
      </font>
      <alignment horizontal="center"/>
      <protection locked="0"/>
    </dxf>
    <dxf>
      <font>
        <color rgb="FF9C0006"/>
      </font>
      <fill>
        <patternFill patternType="solid">
          <bgColor rgb="FFFFCCFF"/>
        </patternFill>
      </fill>
    </dxf>
    <dxf>
      <fill>
        <patternFill patternType="solid">
          <bgColor rgb="FFFFFF00"/>
        </patternFill>
      </fill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vertical="center"/>
      <border>
        <left/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rgb="FF0070C0"/>
      </font>
      <fill>
        <patternFill patternType="solid">
          <bgColor theme="0"/>
        </patternFill>
      </fill>
      <alignment horizontal="left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  <dxf>
      <font>
        <name val="Calibri"/>
        <scheme val="none"/>
        <family val="2"/>
        <b val="1"/>
        <i val="0"/>
        <strike val="0"/>
        <u val="none"/>
        <sz val="15"/>
        <color rgb="FF0070C0"/>
      </font>
      <fill>
        <patternFill patternType="solid">
          <bgColor theme="0"/>
        </patternFill>
      </fill>
      <alignment horizontal="center" vertical="center"/>
      <border>
        <left style="thin">
          <color rgb="FF0070C0"/>
        </left>
        <right/>
        <top style="thin">
          <color rgb="FF0070C0"/>
        </top>
        <bottom style="thin">
          <color rgb="FF0070C0"/>
        </bottom>
      </border>
    </dxf>
  </dxfs>
  <tableStyles count="0" defaultTableStyle="TableStyleMedium9" defaultPivotStyle="PivotStyleLight16"/>
  <colors>
    <mruColors>
      <color rgb="00FFCCFF"/>
      <color rgb="00FFC7CE"/>
      <color rgb="00CCCCFF"/>
      <color rgb="003333FF"/>
      <color rgb="003399FF"/>
      <color rgb="000066FF"/>
      <color rgb="00FF3399"/>
      <color rgb="00FF7C80"/>
      <color rgb="001468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9" Type="http://schemas.microsoft.com/office/2006/relationships/vbaProject" Target="vbaProject.bin"/><Relationship Id="rId38" Type="http://schemas.openxmlformats.org/officeDocument/2006/relationships/sharedStrings" Target="sharedStrings.xml"/><Relationship Id="rId37" Type="http://schemas.openxmlformats.org/officeDocument/2006/relationships/styles" Target="styles.xml"/><Relationship Id="rId36" Type="http://schemas.openxmlformats.org/officeDocument/2006/relationships/theme" Target="theme/theme1.xml"/><Relationship Id="rId35" Type="http://schemas.openxmlformats.org/officeDocument/2006/relationships/externalLink" Target="externalLinks/externalLink1.xml"/><Relationship Id="rId34" Type="http://schemas.openxmlformats.org/officeDocument/2006/relationships/customXml" Target="../customXml/item1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619125</xdr:colOff>
          <xdr:row>9</xdr:row>
          <xdr:rowOff>38100</xdr:rowOff>
        </xdr:from>
        <xdr:to>
          <xdr:col>19</xdr:col>
          <xdr:colOff>933450</xdr:colOff>
          <xdr:row>12</xdr:row>
          <xdr:rowOff>0</xdr:rowOff>
        </xdr:to>
        <xdr:sp macro="[0]!ACTUALIZAR_GRUPO_A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14754225" y="1979295"/>
              <a:ext cx="1381760" cy="67627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ACTUALIZAR</a:t>
              </a:r>
              <a:endParaRPr lang="es-CO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10</xdr:row>
          <xdr:rowOff>0</xdr:rowOff>
        </xdr:from>
        <xdr:to>
          <xdr:col>19</xdr:col>
          <xdr:colOff>390525</xdr:colOff>
          <xdr:row>13</xdr:row>
          <xdr:rowOff>9525</xdr:rowOff>
        </xdr:to>
        <xdr:sp macro="[0]!ACTUALIZAR_CUADRANGULARES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16863060" y="2172335"/>
              <a:ext cx="1405255" cy="77533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ACTUALIZAR</a:t>
              </a:r>
              <a:endParaRPr lang="es-CO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6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7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8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9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</xdr:col>
      <xdr:colOff>0</xdr:colOff>
      <xdr:row>0</xdr:row>
      <xdr:rowOff>0</xdr:rowOff>
    </xdr:from>
    <xdr:ext cx="9348107" cy="489857"/>
    <xdr:sp>
      <xdr:nvSpPr>
        <xdr:cNvPr id="2" name="3 Rectángulo"/>
        <xdr:cNvSpPr/>
      </xdr:nvSpPr>
      <xdr:spPr>
        <a:xfrm>
          <a:off x="186055" y="0"/>
          <a:ext cx="9347835" cy="48958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2</xdr:col>
      <xdr:colOff>0</xdr:colOff>
      <xdr:row>2</xdr:row>
      <xdr:rowOff>13607</xdr:rowOff>
    </xdr:from>
    <xdr:to>
      <xdr:col>2</xdr:col>
      <xdr:colOff>2771775</xdr:colOff>
      <xdr:row>7</xdr:row>
      <xdr:rowOff>27214</xdr:rowOff>
    </xdr:to>
    <xdr:pic>
      <xdr:nvPicPr>
        <xdr:cNvPr id="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509270" y="523875"/>
          <a:ext cx="2771775" cy="1289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14</xdr:col>
      <xdr:colOff>0</xdr:colOff>
      <xdr:row>0</xdr:row>
      <xdr:rowOff>0</xdr:rowOff>
    </xdr:from>
    <xdr:ext cx="9313333" cy="499304"/>
    <xdr:sp>
      <xdr:nvSpPr>
        <xdr:cNvPr id="4" name="3 Rectángulo"/>
        <xdr:cNvSpPr/>
      </xdr:nvSpPr>
      <xdr:spPr>
        <a:xfrm>
          <a:off x="10148570" y="0"/>
          <a:ext cx="931291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15</xdr:col>
      <xdr:colOff>19050</xdr:colOff>
      <xdr:row>1</xdr:row>
      <xdr:rowOff>238125</xdr:rowOff>
    </xdr:from>
    <xdr:to>
      <xdr:col>15</xdr:col>
      <xdr:colOff>2790825</xdr:colOff>
      <xdr:row>7</xdr:row>
      <xdr:rowOff>143555</xdr:rowOff>
    </xdr:to>
    <xdr:pic>
      <xdr:nvPicPr>
        <xdr:cNvPr id="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10490835" y="493395"/>
          <a:ext cx="2771775" cy="14370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21</xdr:col>
      <xdr:colOff>0</xdr:colOff>
      <xdr:row>0</xdr:row>
      <xdr:rowOff>0</xdr:rowOff>
    </xdr:from>
    <xdr:ext cx="9154583" cy="499304"/>
    <xdr:sp>
      <xdr:nvSpPr>
        <xdr:cNvPr id="12" name="3 Rectángulo"/>
        <xdr:cNvSpPr/>
      </xdr:nvSpPr>
      <xdr:spPr>
        <a:xfrm>
          <a:off x="20092035" y="0"/>
          <a:ext cx="915416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22</xdr:col>
      <xdr:colOff>19052</xdr:colOff>
      <xdr:row>1</xdr:row>
      <xdr:rowOff>238125</xdr:rowOff>
    </xdr:from>
    <xdr:ext cx="2771775" cy="1337204"/>
    <xdr:pic>
      <xdr:nvPicPr>
        <xdr:cNvPr id="13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20434300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0</xdr:colOff>
      <xdr:row>0</xdr:row>
      <xdr:rowOff>0</xdr:rowOff>
    </xdr:from>
    <xdr:ext cx="9334500" cy="499304"/>
    <xdr:sp>
      <xdr:nvSpPr>
        <xdr:cNvPr id="14" name="3 Rectángulo"/>
        <xdr:cNvSpPr/>
      </xdr:nvSpPr>
      <xdr:spPr>
        <a:xfrm>
          <a:off x="29849445" y="0"/>
          <a:ext cx="9334500" cy="4991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I </a:t>
          </a:r>
          <a:r>
            <a:rPr lang="es-ES" sz="2600" b="1" cap="none" spc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TORNEO MARCHAGAS</a:t>
          </a:r>
          <a:r>
            <a:rPr lang="es-ES" sz="2600" b="1" cap="none" spc="0" baseline="0">
              <a:ln w="19050">
                <a:solidFill>
                  <a:schemeClr val="tx2">
                    <a:tint val="1000"/>
                  </a:schemeClr>
                </a:solidFill>
                <a:prstDash val="solid"/>
              </a:ln>
              <a:solidFill>
                <a:srgbClr val="0070C0"/>
              </a:solidFill>
              <a:effectLst>
                <a:outerShdw blurRad="50000" dist="50800" dir="7500000" algn="tl">
                  <a:srgbClr val="000000">
                    <a:shade val="5000"/>
                    <a:alpha val="35000"/>
                  </a:srgbClr>
                </a:outerShdw>
              </a:effectLst>
            </a:rPr>
            <a:t> ( 35 ) 2022</a:t>
          </a:r>
          <a:endParaRPr lang="es-ES" sz="2600" b="1" cap="none" spc="0">
            <a:ln w="19050">
              <a:solidFill>
                <a:schemeClr val="tx2">
                  <a:tint val="1000"/>
                </a:schemeClr>
              </a:solidFill>
              <a:prstDash val="solid"/>
            </a:ln>
            <a:solidFill>
              <a:srgbClr val="0070C0"/>
            </a:solidFill>
            <a:effectLst>
              <a:outerShdw blurRad="50000" dist="50800" dir="7500000" algn="tl">
                <a:srgbClr val="000000">
                  <a:shade val="5000"/>
                  <a:alpha val="35000"/>
                </a:srgbClr>
              </a:outerShdw>
            </a:effectLst>
          </a:endParaRPr>
        </a:p>
      </xdr:txBody>
    </xdr:sp>
    <xdr:clientData/>
  </xdr:oneCellAnchor>
  <xdr:oneCellAnchor>
    <xdr:from>
      <xdr:col>27</xdr:col>
      <xdr:colOff>315378</xdr:colOff>
      <xdr:row>1</xdr:row>
      <xdr:rowOff>238125</xdr:rowOff>
    </xdr:from>
    <xdr:ext cx="2771775" cy="1337204"/>
    <xdr:pic>
      <xdr:nvPicPr>
        <xdr:cNvPr id="15" name="Picture 2" descr="logo1"/>
        <xdr:cNvPicPr>
          <a:picLocks noChangeAspect="1" noChangeArrowheads="1"/>
        </xdr:cNvPicPr>
      </xdr:nvPicPr>
      <xdr:blipFill>
        <a:blip r:embed="rId1" cstate="print"/>
        <a:srcRect/>
        <a:stretch>
          <a:fillRect/>
        </a:stretch>
      </xdr:blipFill>
      <xdr:spPr>
        <a:xfrm>
          <a:off x="30164405" y="493395"/>
          <a:ext cx="2771775" cy="1336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Lenovo\Dropbox\TORNEOS%20MARCHAGAS\FIXTURE%20E%20INFORMES\BASE%20DE%20DATO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D"/>
    </sheetNames>
    <sheetDataSet>
      <sheetData sheetId="0"/>
    </sheetDataSet>
  </externalBook>
</externalLink>
</file>

<file path=xl/tables/table1.xml><?xml version="1.0" encoding="utf-8"?>
<table xmlns="http://schemas.openxmlformats.org/spreadsheetml/2006/main" id="5" name="Tabla5" displayName="Tabla5" ref="A1:F151">
  <autoFilter ref="A1:F151"/>
  <sortState ref="A1:F151">
    <sortCondition ref="C1:C142"/>
  </sortState>
  <tableColumns count="6">
    <tableColumn id="2" name="N° CEDULA" totalsRowLabel="Total" dataDxfId="0"/>
    <tableColumn id="3" name="NOMBRE" dataDxfId="1"/>
    <tableColumn id="4" name="EQUIPO" dataDxfId="2"/>
    <tableColumn id="1" name="FECHA" totalsRowFunction="count" dataDxfId="3"/>
    <tableColumn id="5" name="NACIMIENTO" dataDxfId="4"/>
    <tableColumn id="6" name="AÑOS" dataDxfId="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115" displayName="Tabla115" ref="A5:H69" totalsRowShown="0">
  <autoFilter ref="A5:H69">
    <filterColumn colId="5">
      <filters blank="1"/>
    </filterColumn>
  </autoFilter>
  <sortState ref="A5:H69">
    <sortCondition ref="D5:D69"/>
  </sortState>
  <tableColumns count="8">
    <tableColumn id="1" name="FECHA" dataDxfId="10"/>
    <tableColumn id="8" name="CEDULA" dataDxfId="11"/>
    <tableColumn id="2" name="NOMBRE" dataDxfId="12"/>
    <tableColumn id="3" name="EQUIPO" dataDxfId="13"/>
    <tableColumn id="4" name="GENERADO" dataDxfId="14"/>
    <tableColumn id="5" name="PAGADO" dataDxfId="15"/>
    <tableColumn id="6" name="FECHA PAGO" dataDxfId="16"/>
    <tableColumn id="7" name="FECHAS" dataDxfId="17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13" name="Tabla3678910111213141557891011121314" displayName="Tabla3678910111213141557891011121314" ref="AC11:AE82" totalsRowShown="0">
  <autoFilter ref="AC11:AE82"/>
  <sortState ref="AC11:AE82">
    <sortCondition ref="AE11:AE82" descending="1"/>
  </sortState>
  <tableColumns count="3">
    <tableColumn id="1" name="NOMBRE" dataDxfId="20"/>
    <tableColumn id="2" name="EQUIPO" dataDxfId="21"/>
    <tableColumn id="3" name="GOLES" dataDxfId="2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2" name="Tabla36789101112131415578910111213" displayName="Tabla36789101112131415578910111213" ref="AC11:AE76" totalsRowShown="0">
  <autoFilter ref="AC11:AE76"/>
  <sortState ref="AC11:AE76">
    <sortCondition ref="AE11:AE76" descending="1"/>
  </sortState>
  <tableColumns count="3">
    <tableColumn id="1" name="NOMBRE" dataDxfId="23"/>
    <tableColumn id="2" name="EQUIPO" dataDxfId="24"/>
    <tableColumn id="3" name="GOLES" dataDxfId="2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1" name="Tabla367891011121314155789101112" displayName="Tabla367891011121314155789101112" ref="AC11:AE72" totalsRowShown="0">
  <autoFilter ref="AC11:AE72"/>
  <sortState ref="AC11:AE72">
    <sortCondition ref="AE11:AE72" descending="1"/>
  </sortState>
  <tableColumns count="3">
    <tableColumn id="1" name="NOMBRE" dataDxfId="26"/>
    <tableColumn id="2" name="EQUIPO" dataDxfId="27"/>
    <tableColumn id="3" name="GOLES" dataDxfId="2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0" name="Tabla3678910111213141557891011" displayName="Tabla3678910111213141557891011" ref="AC11:AE69" totalsRowShown="0">
  <autoFilter ref="AC11:AE69"/>
  <sortState ref="AC11:AE69">
    <sortCondition ref="AE11:AE69" descending="1"/>
  </sortState>
  <tableColumns count="3">
    <tableColumn id="1" name="NOMBRE" dataDxfId="29"/>
    <tableColumn id="2" name="EQUIPO" dataDxfId="30"/>
    <tableColumn id="3" name="GOLES" dataDxfId="3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9" name="Tabla36789101112131415578910" displayName="Tabla36789101112131415578910" ref="AC11:AE61" totalsRowShown="0">
  <autoFilter ref="AC11:AE61"/>
  <sortState ref="AC11:AE61">
    <sortCondition ref="AE11:AE61" descending="1"/>
  </sortState>
  <tableColumns count="3">
    <tableColumn id="1" name="NOMBRE" dataDxfId="32"/>
    <tableColumn id="2" name="EQUIPO" dataDxfId="33"/>
    <tableColumn id="3" name="GOLES" dataDxfId="3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a367891011121314155789" displayName="Tabla367891011121314155789" ref="AC11:AE55" totalsRowShown="0">
  <autoFilter ref="AC11:AE55"/>
  <sortState ref="AC11:AE55">
    <sortCondition ref="AE11:AE55" descending="1"/>
  </sortState>
  <tableColumns count="3">
    <tableColumn id="1" name="NOMBRE" dataDxfId="35"/>
    <tableColumn id="2" name="EQUIPO" dataDxfId="36"/>
    <tableColumn id="3" name="GOLES" dataDxfId="3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7" name="Tabla36789101112131415578" displayName="Tabla36789101112131415578" ref="AC11:AE51" totalsRowShown="0">
  <autoFilter ref="AC11:AE51"/>
  <sortState ref="AC11:AE51">
    <sortCondition ref="AE11:AE51" descending="1"/>
  </sortState>
  <tableColumns count="3">
    <tableColumn id="1" name="NOMBRE" dataDxfId="38"/>
    <tableColumn id="2" name="EQUIPO" dataDxfId="39"/>
    <tableColumn id="3" name="GOLES" dataDxfId="4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6" name="Tabla3678910111213141557" displayName="Tabla3678910111213141557" ref="AC11:AE40" totalsRowShown="0">
  <autoFilter ref="AC11:AE40"/>
  <sortState ref="AC11:AE40">
    <sortCondition ref="AE11:AE40" descending="1"/>
  </sortState>
  <tableColumns count="3">
    <tableColumn id="1" name="NOMBRE" dataDxfId="41"/>
    <tableColumn id="2" name="EQUIPO" dataDxfId="42"/>
    <tableColumn id="3" name="GOLES" dataDxfId="43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4" name="Tabla367891011121314155" displayName="Tabla367891011121314155" ref="AC11:AE29" totalsRowShown="0">
  <autoFilter ref="AC11:AE29"/>
  <sortState ref="AC11:AE29">
    <sortCondition ref="AE11:AE12" descending="1"/>
  </sortState>
  <tableColumns count="3">
    <tableColumn id="1" name="NOMBRE" dataDxfId="44"/>
    <tableColumn id="2" name="EQUIPO" dataDxfId="45"/>
    <tableColumn id="3" name="GOLES" dataDxfId="4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" name="Tabla36789101112131415" displayName="Tabla36789101112131415" ref="AC11:AE16" totalsRowShown="0">
  <autoFilter ref="AC11:AE16"/>
  <sortState ref="AC11:AE16">
    <sortCondition ref="AE11:AE12" descending="1"/>
  </sortState>
  <tableColumns count="3">
    <tableColumn id="1" name="NOMBRE" dataDxfId="47"/>
    <tableColumn id="2" name="EQUIPO" dataDxfId="48"/>
    <tableColumn id="3" name="GOLES" dataDxfId="4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"/>
  <dimension ref="A1:F151"/>
  <sheetViews>
    <sheetView showGridLines="0" tabSelected="1" topLeftCell="A13" workbookViewId="0">
      <selection activeCell="E35" sqref="E35"/>
    </sheetView>
  </sheetViews>
  <sheetFormatPr defaultColWidth="11" defaultRowHeight="14.4" outlineLevelCol="5"/>
  <cols>
    <col min="1" max="1" width="15.712962962963" style="251" customWidth="1"/>
    <col min="2" max="2" width="40.712962962963" style="252" customWidth="1"/>
    <col min="3" max="3" width="48.287037037037" style="252" customWidth="1"/>
    <col min="4" max="4" width="9.85185185185185" style="252" customWidth="1"/>
    <col min="5" max="5" width="18.712962962963" style="252" customWidth="1"/>
    <col min="6" max="6" width="12.712962962963" style="252" customWidth="1"/>
    <col min="7" max="7" width="31.8518518518519" style="252" customWidth="1"/>
    <col min="8" max="8" width="18.5740740740741" style="252" customWidth="1"/>
    <col min="9" max="16384" width="11.4259259259259" style="252"/>
  </cols>
  <sheetData>
    <row r="1" ht="15.15" spans="1:6">
      <c r="A1" s="253" t="s">
        <v>0</v>
      </c>
      <c r="B1" s="254" t="s">
        <v>1</v>
      </c>
      <c r="C1" s="254" t="s">
        <v>2</v>
      </c>
      <c r="D1" s="255" t="s">
        <v>3</v>
      </c>
      <c r="E1" s="255" t="s">
        <v>4</v>
      </c>
      <c r="F1" s="255" t="s">
        <v>5</v>
      </c>
    </row>
    <row r="2" ht="15.9" spans="1:6">
      <c r="A2" s="256">
        <v>75086668</v>
      </c>
      <c r="B2" s="257" t="str">
        <f>IF(A2&lt;&gt;0,VLOOKUP(Tabla5[[#This Row],[N° CEDULA]],[1]!BASE_DATOS[#Data],2,0)," ")</f>
        <v>ANDRES FELIPE RINCON RODRIGUEZ</v>
      </c>
      <c r="C2" s="258" t="s">
        <v>6</v>
      </c>
      <c r="D2" s="259">
        <v>44618</v>
      </c>
      <c r="E2" s="260">
        <v>28568</v>
      </c>
      <c r="F2" s="261">
        <f ca="1">IF(Tabla5[[#This Row],[NACIMIENTO]]&lt;&gt;0,YEARFRAC(Tabla5[[#This Row],[NACIMIENTO]],TODAY(),1)," ")</f>
        <v>44.2799342905817</v>
      </c>
    </row>
    <row r="3" ht="15.9" spans="1:6">
      <c r="A3" s="256">
        <v>1053766919</v>
      </c>
      <c r="B3" s="257" t="str">
        <f>IF(A3&lt;&gt;0,VLOOKUP(Tabla5[[#This Row],[N° CEDULA]],[1]!BASE_DATOS[#Data],2,0)," ")</f>
        <v>ARLEN VALENCIA MORENO</v>
      </c>
      <c r="C3" s="258" t="s">
        <v>6</v>
      </c>
      <c r="D3" s="259">
        <v>44618</v>
      </c>
      <c r="E3" s="262">
        <v>31557</v>
      </c>
      <c r="F3" s="261">
        <f ca="1">IF(Tabla5[[#This Row],[NACIMIENTO]]&lt;&gt;0,YEARFRAC(Tabla5[[#This Row],[NACIMIENTO]],TODAY(),1)," ")</f>
        <v>36.0964925262691</v>
      </c>
    </row>
    <row r="4" ht="15.9" spans="1:6">
      <c r="A4" s="256">
        <v>75101810</v>
      </c>
      <c r="B4" s="257" t="str">
        <f>IF(A4&lt;&gt;0,VLOOKUP(Tabla5[[#This Row],[N° CEDULA]],[1]!BASE_DATOS[#Data],2,0)," ")</f>
        <v>CESAR AUGUSTO ESCOBAR CARDONA</v>
      </c>
      <c r="C4" s="258" t="s">
        <v>6</v>
      </c>
      <c r="D4" s="259">
        <v>44604</v>
      </c>
      <c r="E4" s="262">
        <v>30916</v>
      </c>
      <c r="F4" s="261">
        <f ca="1">IF(Tabla5[[#This Row],[NACIMIENTO]]&lt;&gt;0,YEARFRAC(Tabla5[[#This Row],[NACIMIENTO]],TODAY(),1)," ")</f>
        <v>37.8501228501229</v>
      </c>
    </row>
    <row r="5" ht="15.9" spans="1:6">
      <c r="A5" s="256">
        <v>75094443</v>
      </c>
      <c r="B5" s="257" t="str">
        <f>IF(A5&lt;&gt;0,VLOOKUP(Tabla5[[#This Row],[N° CEDULA]],[1]!BASE_DATOS[#Data],2,0)," ")</f>
        <v>DAVID FERNANDO CASTAÑO ATENCIA</v>
      </c>
      <c r="C5" s="258" t="s">
        <v>6</v>
      </c>
      <c r="D5" s="259">
        <v>44625</v>
      </c>
      <c r="E5" s="262"/>
      <c r="F5" s="261" t="str">
        <f ca="1">IF(Tabla5[[#This Row],[NACIMIENTO]]&lt;&gt;0,YEARFRAC(Tabla5[[#This Row],[NACIMIENTO]],TODAY(),1)," ")</f>
        <v> </v>
      </c>
    </row>
    <row r="6" ht="15.9" spans="1:6">
      <c r="A6" s="256">
        <v>75101630</v>
      </c>
      <c r="B6" s="257" t="str">
        <f>IF(A6&lt;&gt;0,VLOOKUP(Tabla5[[#This Row],[N° CEDULA]],[1]!BASE_DATOS[#Data],2,0)," ")</f>
        <v>EDISON ANDRES OCAMPO SOLANO</v>
      </c>
      <c r="C6" s="258" t="s">
        <v>6</v>
      </c>
      <c r="D6" s="259">
        <v>44604</v>
      </c>
      <c r="E6" s="262">
        <v>30700</v>
      </c>
      <c r="F6" s="261">
        <f ca="1">IF(Tabla5[[#This Row],[NACIMIENTO]]&lt;&gt;0,YEARFRAC(Tabla5[[#This Row],[NACIMIENTO]],TODAY(),1)," ")</f>
        <v>38.4414882414882</v>
      </c>
    </row>
    <row r="7" ht="15.9" spans="1:6">
      <c r="A7" s="256">
        <v>75101139</v>
      </c>
      <c r="B7" s="257" t="str">
        <f>IF(A7&lt;&gt;0,VLOOKUP(Tabla5[[#This Row],[N° CEDULA]],[1]!BASE_DATOS[#Data],2,0)," ")</f>
        <v>EDWIN MAURICIO TRIVIÑO OSORIO</v>
      </c>
      <c r="C7" s="258" t="s">
        <v>6</v>
      </c>
      <c r="D7" s="259">
        <v>44604</v>
      </c>
      <c r="E7" s="262">
        <v>30638</v>
      </c>
      <c r="F7" s="261">
        <f ca="1">IF(Tabla5[[#This Row],[NACIMIENTO]]&lt;&gt;0,YEARFRAC(Tabla5[[#This Row],[NACIMIENTO]],TODAY(),1)," ")</f>
        <v>38.611909650924</v>
      </c>
    </row>
    <row r="8" ht="15.9" spans="1:6">
      <c r="A8" s="256">
        <v>75088179</v>
      </c>
      <c r="B8" s="257" t="str">
        <f>IF(A8&lt;&gt;0,VLOOKUP(Tabla5[[#This Row],[N° CEDULA]],[1]!BASE_DATOS[#Data],2,0)," ")</f>
        <v>JHON JAIRO MUÑOZ LOAIZA</v>
      </c>
      <c r="C8" s="258" t="s">
        <v>6</v>
      </c>
      <c r="D8" s="259">
        <v>44604</v>
      </c>
      <c r="E8" s="262">
        <v>28436</v>
      </c>
      <c r="F8" s="261">
        <f ca="1">IF(Tabla5[[#This Row],[NACIMIENTO]]&lt;&gt;0,YEARFRAC(Tabla5[[#This Row],[NACIMIENTO]],TODAY(),1)," ")</f>
        <v>44.6419855960955</v>
      </c>
    </row>
    <row r="9" ht="15.9" spans="1:6">
      <c r="A9" s="256">
        <v>75085561</v>
      </c>
      <c r="B9" s="257" t="str">
        <f>IF(A9&lt;&gt;0,VLOOKUP(Tabla5[[#This Row],[N° CEDULA]],[1]!BASE_DATOS[#Data],2,0)," ")</f>
        <v>JHON MARIO PINEDA EUSSE</v>
      </c>
      <c r="C9" s="258" t="s">
        <v>6</v>
      </c>
      <c r="D9" s="259">
        <v>44604</v>
      </c>
      <c r="E9" s="262">
        <v>28462</v>
      </c>
      <c r="F9" s="261">
        <f ca="1">IF(Tabla5[[#This Row],[NACIMIENTO]]&lt;&gt;0,YEARFRAC(Tabla5[[#This Row],[NACIMIENTO]],TODAY(),1)," ")</f>
        <v>44.5707993571811</v>
      </c>
    </row>
    <row r="10" ht="15.9" spans="1:6">
      <c r="A10" s="256">
        <v>75096885</v>
      </c>
      <c r="B10" s="257" t="str">
        <f>IF(A10&lt;&gt;0,VLOOKUP(Tabla5[[#This Row],[N° CEDULA]],[1]!BASE_DATOS[#Data],2,0)," ")</f>
        <v>JORGE ANDRES OSPINA CASTAÑO</v>
      </c>
      <c r="C10" s="258" t="s">
        <v>6</v>
      </c>
      <c r="D10" s="259">
        <v>44618</v>
      </c>
      <c r="E10" s="262">
        <v>29628</v>
      </c>
      <c r="F10" s="261">
        <f ca="1">IF(Tabla5[[#This Row],[NACIMIENTO]]&lt;&gt;0,YEARFRAC(Tabla5[[#This Row],[NACIMIENTO]],TODAY(),1)," ")</f>
        <v>41.3784876140808</v>
      </c>
    </row>
    <row r="11" ht="15.9" spans="1:6">
      <c r="A11" s="256">
        <v>1053782505</v>
      </c>
      <c r="B11" s="257" t="str">
        <f>IF(A11&lt;&gt;0,VLOOKUP(Tabla5[[#This Row],[N° CEDULA]],[1]!BASE_DATOS[#Data],2,0)," ")</f>
        <v>JORGE HERNAN CALLE LOPEZ</v>
      </c>
      <c r="C11" s="258" t="s">
        <v>6</v>
      </c>
      <c r="D11" s="259">
        <v>44604</v>
      </c>
      <c r="E11" s="262">
        <v>31486</v>
      </c>
      <c r="F11" s="261">
        <f ca="1">IF(Tabla5[[#This Row],[NACIMIENTO]]&lt;&gt;0,YEARFRAC(Tabla5[[#This Row],[NACIMIENTO]],TODAY(),1)," ")</f>
        <v>36.290883528193</v>
      </c>
    </row>
    <row r="12" ht="15.9" spans="1:6">
      <c r="A12" s="256">
        <v>75098131</v>
      </c>
      <c r="B12" s="257" t="str">
        <f>IF(A12&lt;&gt;0,VLOOKUP(Tabla5[[#This Row],[N° CEDULA]],[1]!BASE_DATOS[#Data],2,0)," ")</f>
        <v>JORGE MAURICIO ESCALANTE CARDONA</v>
      </c>
      <c r="C12" s="258" t="s">
        <v>6</v>
      </c>
      <c r="D12" s="259">
        <v>44604</v>
      </c>
      <c r="E12" s="262">
        <v>29746</v>
      </c>
      <c r="F12" s="261">
        <f ca="1">IF(Tabla5[[#This Row],[NACIMIENTO]]&lt;&gt;0,YEARFRAC(Tabla5[[#This Row],[NACIMIENTO]],TODAY(),1)," ")</f>
        <v>41.0554106910039</v>
      </c>
    </row>
    <row r="13" ht="15.9" spans="1:6">
      <c r="A13" s="256">
        <v>75083431</v>
      </c>
      <c r="B13" s="257" t="str">
        <f>IF(A13&lt;&gt;0,VLOOKUP(Tabla5[[#This Row],[N° CEDULA]],[1]!BASE_DATOS[#Data],2,0)," ")</f>
        <v>JOSE JULIAN ROJAS ARANGO</v>
      </c>
      <c r="C13" s="258" t="s">
        <v>6</v>
      </c>
      <c r="D13" s="259">
        <v>44604</v>
      </c>
      <c r="E13" s="262">
        <v>28173</v>
      </c>
      <c r="F13" s="261">
        <f ca="1">IF(Tabla5[[#This Row],[NACIMIENTO]]&lt;&gt;0,YEARFRAC(Tabla5[[#This Row],[NACIMIENTO]],TODAY(),1)," ")</f>
        <v>45.3620617820368</v>
      </c>
    </row>
    <row r="14" ht="15.9" spans="1:6">
      <c r="A14" s="256">
        <v>75107609</v>
      </c>
      <c r="B14" s="257" t="str">
        <f>IF(A14&lt;&gt;0,VLOOKUP(Tabla5[[#This Row],[N° CEDULA]],[1]!BASE_DATOS[#Data],2,0)," ")</f>
        <v>LEONARDO ARBOLEDA ARIAS </v>
      </c>
      <c r="C14" s="258" t="s">
        <v>6</v>
      </c>
      <c r="D14" s="259">
        <v>44625</v>
      </c>
      <c r="E14" s="262">
        <v>31307</v>
      </c>
      <c r="F14" s="261">
        <f ca="1">IF(Tabla5[[#This Row],[NACIMIENTO]]&lt;&gt;0,YEARFRAC(Tabla5[[#This Row],[NACIMIENTO]],TODAY(),1)," ")</f>
        <v>36.7816125081058</v>
      </c>
    </row>
    <row r="15" ht="15.9" spans="1:6">
      <c r="A15" s="256">
        <v>75094425</v>
      </c>
      <c r="B15" s="257" t="str">
        <f>IF(A15&lt;&gt;0,VLOOKUP(Tabla5[[#This Row],[N° CEDULA]],[1]!BASE_DATOS[#Data],2,0)," ")</f>
        <v>CARLOS ANDRES MARIN</v>
      </c>
      <c r="C15" s="258" t="s">
        <v>7</v>
      </c>
      <c r="D15" s="259">
        <v>44618</v>
      </c>
      <c r="E15" s="262">
        <v>29367</v>
      </c>
      <c r="F15" s="261">
        <f ca="1">IF(Tabla5[[#This Row],[NACIMIENTO]]&lt;&gt;0,YEARFRAC(Tabla5[[#This Row],[NACIMIENTO]],TODAY(),1)," ")</f>
        <v>42.091048007131</v>
      </c>
    </row>
    <row r="16" ht="15.9" spans="1:6">
      <c r="A16" s="256">
        <v>1053769655</v>
      </c>
      <c r="B16" s="257" t="str">
        <f>IF(A16&lt;&gt;0,VLOOKUP(Tabla5[[#This Row],[N° CEDULA]],[1]!BASE_DATOS[#Data],2,0)," ")</f>
        <v>CRISTIAN FELIPE DIOSA GONZALEZ</v>
      </c>
      <c r="C16" s="258" t="s">
        <v>7</v>
      </c>
      <c r="D16" s="259">
        <v>44625</v>
      </c>
      <c r="E16" s="262"/>
      <c r="F16" s="261" t="str">
        <f ca="1">IF(Tabla5[[#This Row],[NACIMIENTO]]&lt;&gt;0,YEARFRAC(Tabla5[[#This Row],[NACIMIENTO]],TODAY(),1)," ")</f>
        <v> </v>
      </c>
    </row>
    <row r="17" ht="15.9" spans="1:6">
      <c r="A17" s="256">
        <v>75101808</v>
      </c>
      <c r="B17" s="257" t="str">
        <f>IF(A17&lt;&gt;0,VLOOKUP(Tabla5[[#This Row],[N° CEDULA]],[1]!BASE_DATOS[#Data],2,0)," ")</f>
        <v>JOHN ANDRES GAVIRIA ESCOBAR</v>
      </c>
      <c r="C17" s="258" t="s">
        <v>7</v>
      </c>
      <c r="D17" s="259">
        <v>44604</v>
      </c>
      <c r="E17" s="262">
        <v>30398</v>
      </c>
      <c r="F17" s="261">
        <f ca="1">IF(Tabla5[[#This Row],[NACIMIENTO]]&lt;&gt;0,YEARFRAC(Tabla5[[#This Row],[NACIMIENTO]],TODAY(),1)," ")</f>
        <v>39.2689938398357</v>
      </c>
    </row>
    <row r="18" ht="15.9" spans="1:6">
      <c r="A18" s="256">
        <v>16070678</v>
      </c>
      <c r="B18" s="257" t="str">
        <f>IF(A18&lt;&gt;0,VLOOKUP(Tabla5[[#This Row],[N° CEDULA]],[1]!BASE_DATOS[#Data],2,0)," ")</f>
        <v>JOVANY HERNANDEZ BARCO</v>
      </c>
      <c r="C18" s="258" t="s">
        <v>7</v>
      </c>
      <c r="D18" s="259">
        <v>44604</v>
      </c>
      <c r="E18" s="262">
        <v>29984</v>
      </c>
      <c r="F18" s="261">
        <f ca="1">IF(Tabla5[[#This Row],[NACIMIENTO]]&lt;&gt;0,YEARFRAC(Tabla5[[#This Row],[NACIMIENTO]],TODAY(),1)," ")</f>
        <v>40.4031385642738</v>
      </c>
    </row>
    <row r="19" ht="15.9" spans="1:6">
      <c r="A19" s="256">
        <v>9977691</v>
      </c>
      <c r="B19" s="257" t="str">
        <f>IF(A19&lt;&gt;0,VLOOKUP(Tabla5[[#This Row],[N° CEDULA]],[1]!BASE_DATOS[#Data],2,0)," ")</f>
        <v>JUAN CAMILO GONZALEZ JARAMILLO</v>
      </c>
      <c r="C19" s="258" t="s">
        <v>7</v>
      </c>
      <c r="D19" s="259">
        <v>44604</v>
      </c>
      <c r="E19" s="262">
        <v>31386</v>
      </c>
      <c r="F19" s="261">
        <f ca="1">IF(Tabla5[[#This Row],[NACIMIENTO]]&lt;&gt;0,YEARFRAC(Tabla5[[#This Row],[NACIMIENTO]],TODAY(),1)," ")</f>
        <v>36.5653145039268</v>
      </c>
    </row>
    <row r="20" ht="15.9" spans="1:6">
      <c r="A20" s="256">
        <v>75083494</v>
      </c>
      <c r="B20" s="257" t="str">
        <f>IF(A20&lt;&gt;0,VLOOKUP(Tabla5[[#This Row],[N° CEDULA]],[1]!BASE_DATOS[#Data],2,0)," ")</f>
        <v>JUAN CARLOS ZULUAGA SALAZAR</v>
      </c>
      <c r="C20" s="258" t="s">
        <v>7</v>
      </c>
      <c r="D20" s="259">
        <v>44625</v>
      </c>
      <c r="E20" s="262">
        <v>27966</v>
      </c>
      <c r="F20" s="261">
        <f ca="1">IF(Tabla5[[#This Row],[NACIMIENTO]]&lt;&gt;0,YEARFRAC(Tabla5[[#This Row],[NACIMIENTO]],TODAY(),1)," ")</f>
        <v>45.9267781208132</v>
      </c>
    </row>
    <row r="21" ht="15.9" spans="1:6">
      <c r="A21" s="256">
        <v>75107291</v>
      </c>
      <c r="B21" s="257" t="str">
        <f>IF(A21&lt;&gt;0,VLOOKUP(Tabla5[[#This Row],[N° CEDULA]],[1]!BASE_DATOS[#Data],2,0)," ")</f>
        <v>JUAN PABLO AGUIRRE SANCHEZ</v>
      </c>
      <c r="C21" s="258" t="s">
        <v>7</v>
      </c>
      <c r="D21" s="259">
        <v>44618</v>
      </c>
      <c r="E21" s="262">
        <v>31076</v>
      </c>
      <c r="F21" s="261">
        <f ca="1">IF(Tabla5[[#This Row],[NACIMIENTO]]&lt;&gt;0,YEARFRAC(Tabla5[[#This Row],[NACIMIENTO]],TODAY(),1)," ")</f>
        <v>37.4140788241228</v>
      </c>
    </row>
    <row r="22" ht="15.9" spans="1:6">
      <c r="A22" s="256">
        <v>75105593</v>
      </c>
      <c r="B22" s="257" t="str">
        <f>IF(A22&lt;&gt;0,VLOOKUP(Tabla5[[#This Row],[N° CEDULA]],[1]!BASE_DATOS[#Data],2,0)," ")</f>
        <v>JUAN PABLO MERCHAN</v>
      </c>
      <c r="C22" s="258" t="s">
        <v>7</v>
      </c>
      <c r="D22" s="259">
        <v>44604</v>
      </c>
      <c r="E22" s="262">
        <v>30506</v>
      </c>
      <c r="F22" s="261">
        <f ca="1">IF(Tabla5[[#This Row],[NACIMIENTO]]&lt;&gt;0,YEARFRAC(Tabla5[[#This Row],[NACIMIENTO]],TODAY(),1)," ")</f>
        <v>38.9733059548255</v>
      </c>
    </row>
    <row r="23" ht="15.9" spans="1:6">
      <c r="A23" s="256">
        <v>16077084</v>
      </c>
      <c r="B23" s="257" t="str">
        <f>IF(A23&lt;&gt;0,VLOOKUP(Tabla5[[#This Row],[N° CEDULA]],[1]!BASE_DATOS[#Data],2,0)," ")</f>
        <v>JULIO CESAR GARCIA CHICA</v>
      </c>
      <c r="C23" s="258" t="s">
        <v>7</v>
      </c>
      <c r="D23" s="259">
        <v>44604</v>
      </c>
      <c r="E23" s="262">
        <v>30143</v>
      </c>
      <c r="F23" s="261">
        <f ca="1">IF(Tabla5[[#This Row],[NACIMIENTO]]&lt;&gt;0,YEARFRAC(Tabla5[[#This Row],[NACIMIENTO]],TODAY(),1)," ")</f>
        <v>39.9678130217028</v>
      </c>
    </row>
    <row r="24" ht="15.9" spans="1:6">
      <c r="A24" s="256">
        <v>75105711</v>
      </c>
      <c r="B24" s="257" t="str">
        <f>IF(A24&lt;&gt;0,VLOOKUP(Tabla5[[#This Row],[N° CEDULA]],[1]!BASE_DATOS[#Data],2,0)," ")</f>
        <v>LEONARDO ROJAS LONDOÑO</v>
      </c>
      <c r="C24" s="258" t="s">
        <v>7</v>
      </c>
      <c r="D24" s="259">
        <v>44604</v>
      </c>
      <c r="E24" s="262">
        <v>31182</v>
      </c>
      <c r="F24" s="261">
        <f ca="1">IF(Tabla5[[#This Row],[NACIMIENTO]]&lt;&gt;0,YEARFRAC(Tabla5[[#This Row],[NACIMIENTO]],TODAY(),1)," ")</f>
        <v>37.1238561856041</v>
      </c>
    </row>
    <row r="25" ht="15.9" spans="1:6">
      <c r="A25" s="256">
        <v>16070366</v>
      </c>
      <c r="B25" s="257" t="str">
        <f>IF(A25&lt;&gt;0,VLOOKUP(Tabla5[[#This Row],[N° CEDULA]],[1]!BASE_DATOS[#Data],2,0)," ")</f>
        <v>LUIS FELIPE CARDONA VILLEGAS</v>
      </c>
      <c r="C25" s="258" t="s">
        <v>7</v>
      </c>
      <c r="D25" s="259">
        <v>44639</v>
      </c>
      <c r="E25" s="262"/>
      <c r="F25" s="261" t="str">
        <f ca="1">IF(Tabla5[[#This Row],[NACIMIENTO]]&lt;&gt;0,YEARFRAC(Tabla5[[#This Row],[NACIMIENTO]],TODAY(),1)," ")</f>
        <v> </v>
      </c>
    </row>
    <row r="26" ht="15.9" spans="1:6">
      <c r="A26" s="256">
        <v>98563146</v>
      </c>
      <c r="B26" s="257" t="str">
        <f>IF(A26&lt;&gt;0,VLOOKUP(Tabla5[[#This Row],[N° CEDULA]],[1]!BASE_DATOS[#Data],2,0)," ")</f>
        <v>PEDRO ELIAS VARGAS CESPEDES</v>
      </c>
      <c r="C26" s="258" t="s">
        <v>7</v>
      </c>
      <c r="D26" s="259">
        <v>44625</v>
      </c>
      <c r="E26" s="262"/>
      <c r="F26" s="261" t="str">
        <f ca="1">IF(Tabla5[[#This Row],[NACIMIENTO]]&lt;&gt;0,YEARFRAC(Tabla5[[#This Row],[NACIMIENTO]],TODAY(),1)," ")</f>
        <v> </v>
      </c>
    </row>
    <row r="27" ht="15.9" spans="1:6">
      <c r="A27" s="256">
        <v>75108001</v>
      </c>
      <c r="B27" s="257" t="str">
        <f>IF(A27&lt;&gt;0,VLOOKUP(Tabla5[[#This Row],[N° CEDULA]],[1]!BASE_DATOS[#Data],2,0)," ")</f>
        <v>SERGIO ANDRIAN GONZALEZ TAMAYO</v>
      </c>
      <c r="C27" s="258" t="s">
        <v>7</v>
      </c>
      <c r="D27" s="259">
        <v>44604</v>
      </c>
      <c r="E27" s="262">
        <v>31422</v>
      </c>
      <c r="F27" s="261">
        <f ca="1">IF(Tabla5[[#This Row],[NACIMIENTO]]&lt;&gt;0,YEARFRAC(Tabla5[[#This Row],[NACIMIENTO]],TODAY(),1)," ")</f>
        <v>36.4661092200681</v>
      </c>
    </row>
    <row r="28" ht="15.9" spans="1:6">
      <c r="A28" s="256">
        <v>9976820</v>
      </c>
      <c r="B28" s="257" t="str">
        <f>IF(A28&lt;&gt;0,VLOOKUP(Tabla5[[#This Row],[N° CEDULA]],[1]!BASE_DATOS[#Data],2,0)," ")</f>
        <v>VLADIMIR SUAREZ GUTIERREZ</v>
      </c>
      <c r="C28" s="258" t="s">
        <v>7</v>
      </c>
      <c r="D28" s="259">
        <v>44604</v>
      </c>
      <c r="E28" s="262">
        <v>30202</v>
      </c>
      <c r="F28" s="261">
        <f ca="1">IF(Tabla5[[#This Row],[NACIMIENTO]]&lt;&gt;0,YEARFRAC(Tabla5[[#This Row],[NACIMIENTO]],TODAY(),1)," ")</f>
        <v>39.8062771285476</v>
      </c>
    </row>
    <row r="29" ht="15.9" spans="1:6">
      <c r="A29" s="256">
        <v>9977618</v>
      </c>
      <c r="B29" s="257" t="str">
        <f>IF(A29&lt;&gt;0,VLOOKUP(Tabla5[[#This Row],[N° CEDULA]],[1]!BASE_DATOS[#Data],2,0)," ")</f>
        <v>WILLINGTON LEANDRO ARCILA OCAMPO</v>
      </c>
      <c r="C29" s="258" t="s">
        <v>7</v>
      </c>
      <c r="D29" s="259">
        <v>44604</v>
      </c>
      <c r="E29" s="262">
        <v>30872</v>
      </c>
      <c r="F29" s="261">
        <f ca="1">IF(Tabla5[[#This Row],[NACIMIENTO]]&lt;&gt;0,YEARFRAC(Tabla5[[#This Row],[NACIMIENTO]],TODAY(),1)," ")</f>
        <v>37.9705861705862</v>
      </c>
    </row>
    <row r="30" ht="15.9" spans="1:6">
      <c r="A30" s="256">
        <v>1053775240</v>
      </c>
      <c r="B30" s="257" t="str">
        <f>IF(A30&lt;&gt;0,VLOOKUP(Tabla5[[#This Row],[N° CEDULA]],[1]!BASE_DATOS[#Data],2,0)," ")</f>
        <v>CRISTIAN DAVID VALENCIA CUELLAR</v>
      </c>
      <c r="C30" s="258" t="s">
        <v>8</v>
      </c>
      <c r="D30" s="259">
        <v>44611</v>
      </c>
      <c r="E30" s="262">
        <v>31406</v>
      </c>
      <c r="F30" s="261">
        <f ca="1">IF(Tabla5[[#This Row],[NACIMIENTO]]&lt;&gt;0,YEARFRAC(Tabla5[[#This Row],[NACIMIENTO]],TODAY(),1)," ")</f>
        <v>36.5105555155271</v>
      </c>
    </row>
    <row r="31" ht="15.9" spans="1:6">
      <c r="A31" s="256">
        <v>9923759</v>
      </c>
      <c r="B31" s="257" t="str">
        <f>IF(A31&lt;&gt;0,VLOOKUP(Tabla5[[#This Row],[N° CEDULA]],[1]!BASE_DATOS[#Data],2,0)," ")</f>
        <v>EDDER ALEXANDER CARDONA OCAMPO</v>
      </c>
      <c r="C31" s="258" t="s">
        <v>8</v>
      </c>
      <c r="D31" s="259">
        <v>44611</v>
      </c>
      <c r="E31" s="262">
        <v>29451</v>
      </c>
      <c r="F31" s="261">
        <f ca="1">IF(Tabla5[[#This Row],[NACIMIENTO]]&lt;&gt;0,YEARFRAC(Tabla5[[#This Row],[NACIMIENTO]],TODAY(),1)," ")</f>
        <v>41.8610722017064</v>
      </c>
    </row>
    <row r="32" ht="15.9" spans="1:6">
      <c r="A32" s="256">
        <v>75101040</v>
      </c>
      <c r="B32" s="257" t="str">
        <f>IF(A32&lt;&gt;0,VLOOKUP(Tabla5[[#This Row],[N° CEDULA]],[1]!BASE_DATOS[#Data],2,0)," ")</f>
        <v>FREDY JOVANY NUÑEZ HERNANDEZ</v>
      </c>
      <c r="C32" s="258" t="s">
        <v>8</v>
      </c>
      <c r="D32" s="259">
        <v>44611</v>
      </c>
      <c r="E32" s="262"/>
      <c r="F32" s="261" t="str">
        <f ca="1">IF(Tabla5[[#This Row],[NACIMIENTO]]&lt;&gt;0,YEARFRAC(Tabla5[[#This Row],[NACIMIENTO]],TODAY(),1)," ")</f>
        <v> </v>
      </c>
    </row>
    <row r="33" ht="15.9" spans="1:6">
      <c r="A33" s="256">
        <v>1053773776</v>
      </c>
      <c r="B33" s="257" t="str">
        <f>IF(A33&lt;&gt;0,VLOOKUP(Tabla5[[#This Row],[N° CEDULA]],[1]!BASE_DATOS[#Data],2,0)," ")</f>
        <v>JHON HAROLD RAMIREZ GALLEGO</v>
      </c>
      <c r="C33" s="258" t="s">
        <v>8</v>
      </c>
      <c r="D33" s="259">
        <v>44611</v>
      </c>
      <c r="E33" s="262">
        <v>31609</v>
      </c>
      <c r="F33" s="261">
        <f ca="1">IF(Tabla5[[#This Row],[NACIMIENTO]]&lt;&gt;0,YEARFRAC(Tabla5[[#This Row],[NACIMIENTO]],TODAY(),1)," ")</f>
        <v>35.9541216516205</v>
      </c>
    </row>
    <row r="34" ht="15.9" spans="1:6">
      <c r="A34" s="256">
        <v>1060646230</v>
      </c>
      <c r="B34" s="257" t="str">
        <f>IF(A34&lt;&gt;0,VLOOKUP(Tabla5[[#This Row],[N° CEDULA]],[1]!BASE_DATOS[#Data],2,0)," ")</f>
        <v>JHONATAN ARISTIZABAL CARDENAS</v>
      </c>
      <c r="C34" s="258" t="s">
        <v>8</v>
      </c>
      <c r="D34" s="259">
        <v>44639</v>
      </c>
      <c r="E34" s="262">
        <v>31560</v>
      </c>
      <c r="F34" s="261">
        <f ca="1">IF(Tabla5[[#This Row],[NACIMIENTO]]&lt;&gt;0,YEARFRAC(Tabla5[[#This Row],[NACIMIENTO]],TODAY(),1)," ")</f>
        <v>36.0882788219624</v>
      </c>
    </row>
    <row r="35" ht="15.9" spans="1:6">
      <c r="A35" s="256">
        <v>75097022</v>
      </c>
      <c r="B35" s="257" t="str">
        <f>IF(A35&lt;&gt;0,VLOOKUP(Tabla5[[#This Row],[N° CEDULA]],[1]!BASE_DATOS[#Data],2,0)," ")</f>
        <v>JOHN FREDY RAMIREZ GIRALDO</v>
      </c>
      <c r="C35" s="258" t="s">
        <v>8</v>
      </c>
      <c r="D35" s="259">
        <v>44611</v>
      </c>
      <c r="E35" s="262">
        <v>29495</v>
      </c>
      <c r="F35" s="261">
        <f ca="1">IF(Tabla5[[#This Row],[NACIMIENTO]]&lt;&gt;0,YEARFRAC(Tabla5[[#This Row],[NACIMIENTO]],TODAY(),1)," ")</f>
        <v>41.7406086845791</v>
      </c>
    </row>
    <row r="36" ht="15.9" spans="1:6">
      <c r="A36" s="256">
        <v>16071643</v>
      </c>
      <c r="B36" s="257" t="str">
        <f>IF(A36&lt;&gt;0,VLOOKUP(Tabla5[[#This Row],[N° CEDULA]],[1]!BASE_DATOS[#Data],2,0)," ")</f>
        <v>JOSE ARLEX DUQUE MONTENEGRO</v>
      </c>
      <c r="C36" s="258" t="s">
        <v>8</v>
      </c>
      <c r="D36" s="259">
        <v>44632</v>
      </c>
      <c r="E36" s="262">
        <v>30115</v>
      </c>
      <c r="F36" s="261">
        <f ca="1">IF(Tabla5[[#This Row],[NACIMIENTO]]&lt;&gt;0,YEARFRAC(Tabla5[[#This Row],[NACIMIENTO]],TODAY(),1)," ")</f>
        <v>40.0444741235392</v>
      </c>
    </row>
    <row r="37" ht="15.9" spans="1:6">
      <c r="A37" s="256">
        <v>1116432115</v>
      </c>
      <c r="B37" s="257" t="str">
        <f>IF(A37&lt;&gt;0,VLOOKUP(Tabla5[[#This Row],[N° CEDULA]],[1]!BASE_DATOS[#Data],2,0)," ")</f>
        <v>JUAN SEBASTIAN RAMIREZ ALVAREZ</v>
      </c>
      <c r="C37" s="258" t="s">
        <v>8</v>
      </c>
      <c r="D37" s="259">
        <v>44611</v>
      </c>
      <c r="E37" s="262"/>
      <c r="F37" s="261" t="str">
        <f ca="1">IF(Tabla5[[#This Row],[NACIMIENTO]]&lt;&gt;0,YEARFRAC(Tabla5[[#This Row],[NACIMIENTO]],TODAY(),1)," ")</f>
        <v> </v>
      </c>
    </row>
    <row r="38" ht="15.9" spans="1:6">
      <c r="A38" s="256">
        <v>75103950</v>
      </c>
      <c r="B38" s="257" t="str">
        <f>IF(A38&lt;&gt;0,VLOOKUP(Tabla5[[#This Row],[N° CEDULA]],[1]!BASE_DATOS[#Data],2,0)," ")</f>
        <v>LUIS FERNANDO PATIÑO SERNA</v>
      </c>
      <c r="C38" s="258" t="s">
        <v>8</v>
      </c>
      <c r="D38" s="259">
        <v>44611</v>
      </c>
      <c r="E38" s="262">
        <v>31090</v>
      </c>
      <c r="F38" s="261">
        <f ca="1">IF(Tabla5[[#This Row],[NACIMIENTO]]&lt;&gt;0,YEARFRAC(Tabla5[[#This Row],[NACIMIENTO]],TODAY(),1)," ")</f>
        <v>37.375747532243</v>
      </c>
    </row>
    <row r="39" ht="15.9" spans="1:6">
      <c r="A39" s="256">
        <v>75106960</v>
      </c>
      <c r="B39" s="257" t="str">
        <f>IF(A39&lt;&gt;0,VLOOKUP(Tabla5[[#This Row],[N° CEDULA]],[1]!BASE_DATOS[#Data],2,0)," ")</f>
        <v>MILTON NEFTALY ARANGO MURILLO</v>
      </c>
      <c r="C39" s="258" t="s">
        <v>8</v>
      </c>
      <c r="D39" s="259">
        <v>44632</v>
      </c>
      <c r="E39" s="262">
        <v>31293</v>
      </c>
      <c r="F39" s="261">
        <f ca="1">IF(Tabla5[[#This Row],[NACIMIENTO]]&lt;&gt;0,YEARFRAC(Tabla5[[#This Row],[NACIMIENTO]],TODAY(),1)," ")</f>
        <v>36.8199437999856</v>
      </c>
    </row>
    <row r="40" ht="15.9" spans="1:6">
      <c r="A40" s="256">
        <v>75103236</v>
      </c>
      <c r="B40" s="257" t="str">
        <f>IF(A40&lt;&gt;0,VLOOKUP(Tabla5[[#This Row],[N° CEDULA]],[1]!BASE_DATOS[#Data],2,0)," ")</f>
        <v>OSCAR EDUARDO ALZATE RESTREPO</v>
      </c>
      <c r="C40" s="258" t="s">
        <v>8</v>
      </c>
      <c r="D40" s="259">
        <v>44611</v>
      </c>
      <c r="E40" s="262">
        <v>30897</v>
      </c>
      <c r="F40" s="261">
        <f ca="1">IF(Tabla5[[#This Row],[NACIMIENTO]]&lt;&gt;0,YEARFRAC(Tabla5[[#This Row],[NACIMIENTO]],TODAY(),1)," ")</f>
        <v>37.9021411021411</v>
      </c>
    </row>
    <row r="41" ht="15.9" spans="1:6">
      <c r="A41" s="256">
        <v>75098952</v>
      </c>
      <c r="B41" s="257" t="str">
        <f>IF(A41&lt;&gt;0,VLOOKUP(Tabla5[[#This Row],[N° CEDULA]],[1]!BASE_DATOS[#Data],2,0)," ")</f>
        <v>OSCAR JULIAN RODRIGUEZ ARISTIZABAL</v>
      </c>
      <c r="C41" s="258" t="s">
        <v>8</v>
      </c>
      <c r="D41" s="259">
        <v>44618</v>
      </c>
      <c r="E41" s="262">
        <v>29848</v>
      </c>
      <c r="F41" s="261">
        <f ca="1">IF(Tabla5[[#This Row],[NACIMIENTO]]&lt;&gt;0,YEARFRAC(Tabla5[[#This Row],[NACIMIENTO]],TODAY(),1)," ")</f>
        <v>40.7761408083442</v>
      </c>
    </row>
    <row r="42" ht="15.9" spans="1:6">
      <c r="A42" s="256">
        <v>16079108</v>
      </c>
      <c r="B42" s="257" t="str">
        <f>IF(A42&lt;&gt;0,VLOOKUP(Tabla5[[#This Row],[N° CEDULA]],[1]!BASE_DATOS[#Data],2,0)," ")</f>
        <v>OTONIEL SERNA LONDOÑO</v>
      </c>
      <c r="C42" s="258" t="s">
        <v>8</v>
      </c>
      <c r="D42" s="259">
        <v>44618</v>
      </c>
      <c r="E42" s="262">
        <v>30062</v>
      </c>
      <c r="F42" s="261">
        <f ca="1">IF(Tabla5[[#This Row],[NACIMIENTO]]&lt;&gt;0,YEARFRAC(Tabla5[[#This Row],[NACIMIENTO]],TODAY(),1)," ")</f>
        <v>40.1895826377296</v>
      </c>
    </row>
    <row r="43" ht="15.9" spans="1:6">
      <c r="A43" s="256">
        <v>9971855</v>
      </c>
      <c r="B43" s="257" t="str">
        <f>IF(A43&lt;&gt;0,VLOOKUP(Tabla5[[#This Row],[N° CEDULA]],[1]!BASE_DATOS[#Data],2,0)," ")</f>
        <v>WILMAR SERNA BECERRA</v>
      </c>
      <c r="C43" s="258" t="s">
        <v>8</v>
      </c>
      <c r="D43" s="259">
        <v>44632</v>
      </c>
      <c r="E43" s="262">
        <v>28527</v>
      </c>
      <c r="F43" s="261">
        <f ca="1">IF(Tabla5[[#This Row],[NACIMIENTO]]&lt;&gt;0,YEARFRAC(Tabla5[[#This Row],[NACIMIENTO]],TODAY(),1)," ")</f>
        <v>44.3921878802628</v>
      </c>
    </row>
    <row r="44" ht="15.9" spans="1:6">
      <c r="A44" s="256">
        <v>1053772800</v>
      </c>
      <c r="B44" s="257" t="str">
        <f>IF(A44&lt;&gt;0,VLOOKUP(Tabla5[[#This Row],[N° CEDULA]],[1]!BASE_DATOS[#Data],2,0)," ")</f>
        <v>ALEJANDRO SERNA CEBALLOS</v>
      </c>
      <c r="C44" s="258" t="s">
        <v>9</v>
      </c>
      <c r="D44" s="259">
        <v>44611</v>
      </c>
      <c r="E44" s="262"/>
      <c r="F44" s="261" t="str">
        <f ca="1">IF(Tabla5[[#This Row],[NACIMIENTO]]&lt;&gt;0,YEARFRAC(Tabla5[[#This Row],[NACIMIENTO]],TODAY(),1)," ")</f>
        <v> </v>
      </c>
    </row>
    <row r="45" ht="15.9" spans="1:6">
      <c r="A45" s="256">
        <v>16074882</v>
      </c>
      <c r="B45" s="257" t="str">
        <f>IF(A45&lt;&gt;0,VLOOKUP(Tabla5[[#This Row],[N° CEDULA]],[1]!BASE_DATOS[#Data],2,0)," ")</f>
        <v>ANDRES FELIPE RIOS LOPEZ</v>
      </c>
      <c r="C45" s="258" t="s">
        <v>9</v>
      </c>
      <c r="D45" s="259">
        <v>44611</v>
      </c>
      <c r="E45" s="262">
        <v>30346</v>
      </c>
      <c r="F45" s="261">
        <f ca="1">IF(Tabla5[[#This Row],[NACIMIENTO]]&lt;&gt;0,YEARFRAC(Tabla5[[#This Row],[NACIMIENTO]],TODAY(),1)," ")</f>
        <v>39.4113620807666</v>
      </c>
    </row>
    <row r="46" ht="15.9" spans="1:6">
      <c r="A46" s="256">
        <v>75102445</v>
      </c>
      <c r="B46" s="257" t="str">
        <f>IF(A46&lt;&gt;0,VLOOKUP(Tabla5[[#This Row],[N° CEDULA]],[1]!BASE_DATOS[#Data],2,0)," ")</f>
        <v>ANDRES GIOVANNI CARDONA ZULUAGA</v>
      </c>
      <c r="C46" s="258" t="s">
        <v>9</v>
      </c>
      <c r="D46" s="259">
        <v>44611</v>
      </c>
      <c r="E46" s="262">
        <v>30966</v>
      </c>
      <c r="F46" s="261">
        <f ca="1">IF(Tabla5[[#This Row],[NACIMIENTO]]&lt;&gt;0,YEARFRAC(Tabla5[[#This Row],[NACIMIENTO]],TODAY(),1)," ")</f>
        <v>37.7132327132327</v>
      </c>
    </row>
    <row r="47" ht="15.9" spans="1:6">
      <c r="A47" s="256">
        <v>75089022</v>
      </c>
      <c r="B47" s="257" t="str">
        <f>IF(A47&lt;&gt;0,VLOOKUP(Tabla5[[#This Row],[N° CEDULA]],[1]!BASE_DATOS[#Data],2,0)," ")</f>
        <v>ANDRES MAURICIO CARDENAS CASTAÑO</v>
      </c>
      <c r="C47" s="258" t="s">
        <v>9</v>
      </c>
      <c r="D47" s="259">
        <v>44632</v>
      </c>
      <c r="E47" s="262"/>
      <c r="F47" s="261" t="str">
        <f ca="1">IF(Tabla5[[#This Row],[NACIMIENTO]]&lt;&gt;0,YEARFRAC(Tabla5[[#This Row],[NACIMIENTO]],TODAY(),1)," ")</f>
        <v> </v>
      </c>
    </row>
    <row r="48" ht="15.9" spans="1:6">
      <c r="A48" s="256">
        <v>75093375</v>
      </c>
      <c r="B48" s="257" t="str">
        <f>IF(A48&lt;&gt;0,VLOOKUP(Tabla5[[#This Row],[N° CEDULA]],[1]!BASE_DATOS[#Data],2,0)," ")</f>
        <v>CESAR AUGUSTO DUQUE JARAMILLO</v>
      </c>
      <c r="C48" s="258" t="s">
        <v>9</v>
      </c>
      <c r="D48" s="259">
        <v>44618</v>
      </c>
      <c r="E48" s="262"/>
      <c r="F48" s="261" t="str">
        <f ca="1">IF(Tabla5[[#This Row],[NACIMIENTO]]&lt;&gt;0,YEARFRAC(Tabla5[[#This Row],[NACIMIENTO]],TODAY(),1)," ")</f>
        <v> </v>
      </c>
    </row>
    <row r="49" ht="15.9" spans="1:6">
      <c r="A49" s="256">
        <v>16076078</v>
      </c>
      <c r="B49" s="257" t="str">
        <f>IF(A49&lt;&gt;0,VLOOKUP(Tabla5[[#This Row],[N° CEDULA]],[1]!BASE_DATOS[#Data],2,0)," ")</f>
        <v>CRISTIAN CAMILO GOMEZ MENDOZA</v>
      </c>
      <c r="C49" s="258" t="s">
        <v>9</v>
      </c>
      <c r="D49" s="259">
        <v>44611</v>
      </c>
      <c r="E49" s="262"/>
      <c r="F49" s="261" t="str">
        <f ca="1">IF(Tabla5[[#This Row],[NACIMIENTO]]&lt;&gt;0,YEARFRAC(Tabla5[[#This Row],[NACIMIENTO]],TODAY(),1)," ")</f>
        <v> </v>
      </c>
    </row>
    <row r="50" ht="15.9" spans="1:6">
      <c r="A50" s="256">
        <v>1053765383</v>
      </c>
      <c r="B50" s="257" t="str">
        <f>IF(A50&lt;&gt;0,VLOOKUP(Tabla5[[#This Row],[N° CEDULA]],[1]!BASE_DATOS[#Data],2,0)," ")</f>
        <v>CRISTIAN STEVEN MORALES ARIAS</v>
      </c>
      <c r="C50" s="258" t="s">
        <v>9</v>
      </c>
      <c r="D50" s="259">
        <v>44632</v>
      </c>
      <c r="E50" s="262"/>
      <c r="F50" s="261" t="str">
        <f ca="1">IF(Tabla5[[#This Row],[NACIMIENTO]]&lt;&gt;0,YEARFRAC(Tabla5[[#This Row],[NACIMIENTO]],TODAY(),1)," ")</f>
        <v> </v>
      </c>
    </row>
    <row r="51" ht="15.9" spans="1:6">
      <c r="A51" s="256">
        <v>75097573</v>
      </c>
      <c r="B51" s="257" t="str">
        <f>IF(A51&lt;&gt;0,VLOOKUP(Tabla5[[#This Row],[N° CEDULA]],[1]!BASE_DATOS[#Data],2,0)," ")</f>
        <v>JORGE ANDRES CASTAÑO OSPINA</v>
      </c>
      <c r="C51" s="258" t="s">
        <v>9</v>
      </c>
      <c r="D51" s="259">
        <v>44618</v>
      </c>
      <c r="E51" s="262">
        <v>29694</v>
      </c>
      <c r="F51" s="261">
        <f ca="1">IF(Tabla5[[#This Row],[NACIMIENTO]]&lt;&gt;0,YEARFRAC(Tabla5[[#This Row],[NACIMIENTO]],TODAY(),1)," ")</f>
        <v>41.1977835723598</v>
      </c>
    </row>
    <row r="52" ht="15.9" spans="1:6">
      <c r="A52" s="256">
        <v>16078792</v>
      </c>
      <c r="B52" s="257" t="str">
        <f>IF(A52&lt;&gt;0,VLOOKUP(Tabla5[[#This Row],[N° CEDULA]],[1]!BASE_DATOS[#Data],2,0)," ")</f>
        <v>JORGE ARMANDO MARIN MARIN</v>
      </c>
      <c r="C52" s="258" t="s">
        <v>9</v>
      </c>
      <c r="D52" s="259">
        <v>44611</v>
      </c>
      <c r="E52" s="262"/>
      <c r="F52" s="261" t="str">
        <f ca="1">IF(Tabla5[[#This Row],[NACIMIENTO]]&lt;&gt;0,YEARFRAC(Tabla5[[#This Row],[NACIMIENTO]],TODAY(),1)," ")</f>
        <v> </v>
      </c>
    </row>
    <row r="53" ht="15.9" spans="1:6">
      <c r="A53" s="256">
        <v>75093317</v>
      </c>
      <c r="B53" s="257" t="str">
        <f>IF(A53&lt;&gt;0,VLOOKUP(Tabla5[[#This Row],[N° CEDULA]],[1]!BASE_DATOS[#Data],2,0)," ")</f>
        <v>JORGE EDUARDO HOLGUIN MARIN</v>
      </c>
      <c r="C53" s="258" t="s">
        <v>9</v>
      </c>
      <c r="D53" s="259">
        <v>44611</v>
      </c>
      <c r="E53" s="262"/>
      <c r="F53" s="261" t="str">
        <f ca="1">IF(Tabla5[[#This Row],[NACIMIENTO]]&lt;&gt;0,YEARFRAC(Tabla5[[#This Row],[NACIMIENTO]],TODAY(),1)," ")</f>
        <v> </v>
      </c>
    </row>
    <row r="54" ht="15.9" spans="1:6">
      <c r="A54" s="256">
        <v>75104551</v>
      </c>
      <c r="B54" s="257" t="str">
        <f>IF(A54&lt;&gt;0,VLOOKUP(Tabla5[[#This Row],[N° CEDULA]],[1]!BASE_DATOS[#Data],2,0)," ")</f>
        <v>JORGE YAMIL MUÑOZ OROZCO</v>
      </c>
      <c r="C54" s="258" t="s">
        <v>9</v>
      </c>
      <c r="D54" s="259">
        <v>44618</v>
      </c>
      <c r="E54" s="262">
        <v>30980</v>
      </c>
      <c r="F54" s="261">
        <f ca="1">IF(Tabla5[[#This Row],[NACIMIENTO]]&lt;&gt;0,YEARFRAC(Tabla5[[#This Row],[NACIMIENTO]],TODAY(),1)," ")</f>
        <v>37.6749034749035</v>
      </c>
    </row>
    <row r="55" ht="15.9" spans="1:6">
      <c r="A55" s="256">
        <v>75089347</v>
      </c>
      <c r="B55" s="257" t="str">
        <f>IF(A55&lt;&gt;0,VLOOKUP(Tabla5[[#This Row],[N° CEDULA]],[1]!BASE_DATOS[#Data],2,0)," ")</f>
        <v>JOSE ALEXANDER GUARIN VILLA</v>
      </c>
      <c r="C55" s="258" t="s">
        <v>9</v>
      </c>
      <c r="D55" s="259">
        <v>44611</v>
      </c>
      <c r="E55" s="262"/>
      <c r="F55" s="261" t="str">
        <f ca="1">IF(Tabla5[[#This Row],[NACIMIENTO]]&lt;&gt;0,YEARFRAC(Tabla5[[#This Row],[NACIMIENTO]],TODAY(),1)," ")</f>
        <v> </v>
      </c>
    </row>
    <row r="56" ht="15.9" spans="1:6">
      <c r="A56" s="256">
        <v>75100978</v>
      </c>
      <c r="B56" s="257" t="str">
        <f>IF(A56&lt;&gt;0,VLOOKUP(Tabla5[[#This Row],[N° CEDULA]],[1]!BASE_DATOS[#Data],2,0)," ")</f>
        <v>OMAR HERNANDEZ CAÑON</v>
      </c>
      <c r="C56" s="258" t="s">
        <v>9</v>
      </c>
      <c r="D56" s="259">
        <v>44632</v>
      </c>
      <c r="E56" s="262">
        <v>29888</v>
      </c>
      <c r="F56" s="261">
        <f ca="1">IF(Tabla5[[#This Row],[NACIMIENTO]]&lt;&gt;0,YEARFRAC(Tabla5[[#This Row],[NACIMIENTO]],TODAY(),1)," ")</f>
        <v>40.6666232073012</v>
      </c>
    </row>
    <row r="57" ht="15.9" spans="1:6">
      <c r="A57" s="256">
        <v>75098816</v>
      </c>
      <c r="B57" s="257" t="str">
        <f>IF(A57&lt;&gt;0,VLOOKUP(Tabla5[[#This Row],[N° CEDULA]],[1]!BASE_DATOS[#Data],2,0)," ")</f>
        <v>OSWALDO TORRES MONTOYA</v>
      </c>
      <c r="C57" s="258" t="s">
        <v>9</v>
      </c>
      <c r="D57" s="259">
        <v>44611</v>
      </c>
      <c r="E57" s="262">
        <v>29601</v>
      </c>
      <c r="F57" s="261">
        <f ca="1">IF(Tabla5[[#This Row],[NACIMIENTO]]&lt;&gt;0,YEARFRAC(Tabla5[[#This Row],[NACIMIENTO]],TODAY(),1)," ")</f>
        <v>41.4524119947849</v>
      </c>
    </row>
    <row r="58" ht="15.9" spans="1:6">
      <c r="A58" s="256">
        <v>1053774030</v>
      </c>
      <c r="B58" s="257" t="str">
        <f>IF(A58&lt;&gt;0,VLOOKUP(Tabla5[[#This Row],[N° CEDULA]],[1]!BASE_DATOS[#Data],2,0)," ")</f>
        <v>YHEFERSON BUITRAGO SANCHEZ</v>
      </c>
      <c r="C58" s="258" t="s">
        <v>9</v>
      </c>
      <c r="D58" s="259">
        <v>44611</v>
      </c>
      <c r="E58" s="262"/>
      <c r="F58" s="261" t="str">
        <f ca="1">IF(Tabla5[[#This Row],[NACIMIENTO]]&lt;&gt;0,YEARFRAC(Tabla5[[#This Row],[NACIMIENTO]],TODAY(),1)," ")</f>
        <v> </v>
      </c>
    </row>
    <row r="59" ht="15.9" spans="1:6">
      <c r="A59" s="256">
        <v>75094326</v>
      </c>
      <c r="B59" s="257" t="str">
        <f>IF(A59&lt;&gt;0,VLOOKUP(Tabla5[[#This Row],[N° CEDULA]],[1]!BASE_DATOS[#Data],2,0)," ")</f>
        <v>CARLOS ALBERTO LOAIZA TORRES</v>
      </c>
      <c r="C59" s="258" t="s">
        <v>10</v>
      </c>
      <c r="D59" s="259">
        <v>44646</v>
      </c>
      <c r="E59" s="262"/>
      <c r="F59" s="261" t="str">
        <f ca="1">IF(Tabla5[[#This Row],[NACIMIENTO]]&lt;&gt;0,YEARFRAC(Tabla5[[#This Row],[NACIMIENTO]],TODAY(),1)," ")</f>
        <v> </v>
      </c>
    </row>
    <row r="60" ht="15.9" spans="1:6">
      <c r="A60" s="256">
        <v>75080004</v>
      </c>
      <c r="B60" s="257" t="str">
        <f>IF(A60&lt;&gt;0,VLOOKUP(Tabla5[[#This Row],[N° CEDULA]],[1]!BASE_DATOS[#Data],2,0)," ")</f>
        <v>CESAR AUGUSTO DUQUE CASTAÑO</v>
      </c>
      <c r="C60" s="258" t="s">
        <v>10</v>
      </c>
      <c r="D60" s="259">
        <v>44660</v>
      </c>
      <c r="E60" s="262"/>
      <c r="F60" s="261" t="str">
        <f ca="1">IF(Tabla5[[#This Row],[NACIMIENTO]]&lt;&gt;0,YEARFRAC(Tabla5[[#This Row],[NACIMIENTO]],TODAY(),1)," ")</f>
        <v> </v>
      </c>
    </row>
    <row r="61" ht="15.9" spans="1:6">
      <c r="A61" s="256">
        <v>75105546</v>
      </c>
      <c r="B61" s="257" t="str">
        <f>IF(A61&lt;&gt;0,VLOOKUP(Tabla5[[#This Row],[N° CEDULA]],[1]!BASE_DATOS[#Data],2,0)," ")</f>
        <v>EDUIN JAIVER SANCHEZ OROZCO</v>
      </c>
      <c r="C61" s="258" t="s">
        <v>10</v>
      </c>
      <c r="D61" s="259">
        <v>44604</v>
      </c>
      <c r="E61" s="262">
        <v>31223</v>
      </c>
      <c r="F61" s="261">
        <f ca="1">IF(Tabla5[[#This Row],[NACIMIENTO]]&lt;&gt;0,YEARFRAC(Tabla5[[#This Row],[NACIMIENTO]],TODAY(),1)," ")</f>
        <v>37.0116002593847</v>
      </c>
    </row>
    <row r="62" ht="15.9" spans="1:6">
      <c r="A62" s="256">
        <v>75095427</v>
      </c>
      <c r="B62" s="257" t="str">
        <f>IF(A62&lt;&gt;0,VLOOKUP(Tabla5[[#This Row],[N° CEDULA]],[1]!BASE_DATOS[#Data],2,0)," ")</f>
        <v>EDWIN JIOVANNY LOPEZ PATIÑO</v>
      </c>
      <c r="C62" s="258" t="s">
        <v>10</v>
      </c>
      <c r="D62" s="259">
        <v>44604</v>
      </c>
      <c r="E62" s="262">
        <v>29098</v>
      </c>
      <c r="F62" s="261">
        <f ca="1">IF(Tabla5[[#This Row],[NACIMIENTO]]&lt;&gt;0,YEARFRAC(Tabla5[[#This Row],[NACIMIENTO]],TODAY(),1)," ")</f>
        <v>42.8281998631075</v>
      </c>
    </row>
    <row r="63" ht="15.9" spans="1:6">
      <c r="A63" s="256">
        <v>16071979</v>
      </c>
      <c r="B63" s="257" t="str">
        <f>IF(A63&lt;&gt;0,VLOOKUP(Tabla5[[#This Row],[N° CEDULA]],[1]!BASE_DATOS[#Data],2,0)," ")</f>
        <v>FERNANDO PARRA OROZCO</v>
      </c>
      <c r="C63" s="258" t="s">
        <v>10</v>
      </c>
      <c r="D63" s="259">
        <v>44611</v>
      </c>
      <c r="E63" s="262">
        <v>30003</v>
      </c>
      <c r="F63" s="261">
        <f ca="1">IF(Tabla5[[#This Row],[NACIMIENTO]]&lt;&gt;0,YEARFRAC(Tabla5[[#This Row],[NACIMIENTO]],TODAY(),1)," ")</f>
        <v>40.3511185308848</v>
      </c>
    </row>
    <row r="64" ht="15.9" spans="1:6">
      <c r="A64" s="256">
        <v>16079516</v>
      </c>
      <c r="B64" s="257" t="str">
        <f>IF(A64&lt;&gt;0,VLOOKUP(Tabla5[[#This Row],[N° CEDULA]],[1]!BASE_DATOS[#Data],2,0)," ")</f>
        <v>HUMBERTO ALEXANDRO CARDONA FLOREZ</v>
      </c>
      <c r="C64" s="258" t="s">
        <v>10</v>
      </c>
      <c r="D64" s="259">
        <v>44604</v>
      </c>
      <c r="E64" s="262">
        <v>30585</v>
      </c>
      <c r="F64" s="261">
        <f ca="1">IF(Tabla5[[#This Row],[NACIMIENTO]]&lt;&gt;0,YEARFRAC(Tabla5[[#This Row],[NACIMIENTO]],TODAY(),1)," ")</f>
        <v>38.757015742642</v>
      </c>
    </row>
    <row r="65" ht="15.9" spans="1:6">
      <c r="A65" s="256">
        <v>1053766093</v>
      </c>
      <c r="B65" s="257" t="str">
        <f>IF(A65&lt;&gt;0,VLOOKUP(Tabla5[[#This Row],[N° CEDULA]],[1]!BASE_DATOS[#Data],2,0)," ")</f>
        <v>JESUS DAVID GONZALEZ TORRES</v>
      </c>
      <c r="C65" s="258" t="s">
        <v>10</v>
      </c>
      <c r="D65" s="259">
        <v>44604</v>
      </c>
      <c r="E65" s="262">
        <v>31519</v>
      </c>
      <c r="F65" s="261">
        <f ca="1">IF(Tabla5[[#This Row],[NACIMIENTO]]&lt;&gt;0,YEARFRAC(Tabla5[[#This Row],[NACIMIENTO]],TODAY(),1)," ")</f>
        <v>36.2005327808199</v>
      </c>
    </row>
    <row r="66" ht="15.9" spans="1:6">
      <c r="A66" s="256">
        <v>75090612</v>
      </c>
      <c r="B66" s="257" t="str">
        <f>IF(A66&lt;&gt;0,VLOOKUP(Tabla5[[#This Row],[N° CEDULA]],[1]!BASE_DATOS[#Data],2,0)," ")</f>
        <v>JESUS EMILIO SERNA SALAZAR</v>
      </c>
      <c r="C66" s="258" t="s">
        <v>10</v>
      </c>
      <c r="D66" s="259">
        <v>44611</v>
      </c>
      <c r="E66" s="262"/>
      <c r="F66" s="261" t="str">
        <f ca="1">IF(Tabla5[[#This Row],[NACIMIENTO]]&lt;&gt;0,YEARFRAC(Tabla5[[#This Row],[NACIMIENTO]],TODAY(),1)," ")</f>
        <v> </v>
      </c>
    </row>
    <row r="67" ht="15.9" spans="1:6">
      <c r="A67" s="256">
        <v>75093441</v>
      </c>
      <c r="B67" s="257" t="str">
        <f>IF(A67&lt;&gt;0,VLOOKUP(Tabla5[[#This Row],[N° CEDULA]],[1]!BASE_DATOS[#Data],2,0)," ")</f>
        <v>JHON FREDY LOPEZ ARIAS</v>
      </c>
      <c r="C67" s="258" t="s">
        <v>10</v>
      </c>
      <c r="D67" s="259">
        <v>44611</v>
      </c>
      <c r="E67" s="262"/>
      <c r="F67" s="261" t="str">
        <f ca="1">IF(Tabla5[[#This Row],[NACIMIENTO]]&lt;&gt;0,YEARFRAC(Tabla5[[#This Row],[NACIMIENTO]],TODAY(),1)," ")</f>
        <v> </v>
      </c>
    </row>
    <row r="68" ht="15.9" spans="1:6">
      <c r="A68" s="256">
        <v>75108042</v>
      </c>
      <c r="B68" s="257" t="str">
        <f>IF(A68&lt;&gt;0,VLOOKUP(Tabla5[[#This Row],[N° CEDULA]],[1]!BASE_DATOS[#Data],2,0)," ")</f>
        <v>JORGE ANDRES BARCO DELGADO</v>
      </c>
      <c r="C68" s="258" t="s">
        <v>10</v>
      </c>
      <c r="D68" s="259">
        <v>44604</v>
      </c>
      <c r="E68" s="262">
        <v>31420</v>
      </c>
      <c r="F68" s="261">
        <f ca="1">IF(Tabla5[[#This Row],[NACIMIENTO]]&lt;&gt;0,YEARFRAC(Tabla5[[#This Row],[NACIMIENTO]],TODAY(),1)," ")</f>
        <v>36.4715850229392</v>
      </c>
    </row>
    <row r="69" ht="15.9" spans="1:6">
      <c r="A69" s="256">
        <v>1053771663</v>
      </c>
      <c r="B69" s="257" t="str">
        <f>IF(A69&lt;&gt;0,VLOOKUP(Tabla5[[#This Row],[N° CEDULA]],[1]!BASE_DATOS[#Data],2,0)," ")</f>
        <v>JORGE ANDRES LOPEZ PATIÑO</v>
      </c>
      <c r="C69" s="258" t="s">
        <v>10</v>
      </c>
      <c r="D69" s="259">
        <v>44604</v>
      </c>
      <c r="E69" s="262">
        <v>31680</v>
      </c>
      <c r="F69" s="261">
        <f ca="1">IF(Tabla5[[#This Row],[NACIMIENTO]]&lt;&gt;0,YEARFRAC(Tabla5[[#This Row],[NACIMIENTO]],TODAY(),1)," ")</f>
        <v>35.7597306496966</v>
      </c>
    </row>
    <row r="70" ht="15.9" spans="1:6">
      <c r="A70" s="256">
        <v>75086086</v>
      </c>
      <c r="B70" s="257" t="str">
        <f>IF(A70&lt;&gt;0,VLOOKUP(Tabla5[[#This Row],[N° CEDULA]],[1]!BASE_DATOS[#Data],2,0)," ")</f>
        <v>JOSE FERNANDO MUÑOZ CASTAÑO</v>
      </c>
      <c r="C70" s="258" t="s">
        <v>10</v>
      </c>
      <c r="D70" s="259">
        <v>44604</v>
      </c>
      <c r="E70" s="262">
        <v>28406</v>
      </c>
      <c r="F70" s="261">
        <f ca="1">IF(Tabla5[[#This Row],[NACIMIENTO]]&lt;&gt;0,YEARFRAC(Tabla5[[#This Row],[NACIMIENTO]],TODAY(),1)," ")</f>
        <v>44.7241235640736</v>
      </c>
    </row>
    <row r="71" ht="15.9" spans="1:6">
      <c r="A71" s="256">
        <v>93138463</v>
      </c>
      <c r="B71" s="257" t="str">
        <f>IF(A71&lt;&gt;0,VLOOKUP(Tabla5[[#This Row],[N° CEDULA]],[1]!BASE_DATOS[#Data],2,0)," ")</f>
        <v>LUIS CARLOS GOMEZ IDARRAGA</v>
      </c>
      <c r="C71" s="258" t="s">
        <v>10</v>
      </c>
      <c r="D71" s="259">
        <v>44604</v>
      </c>
      <c r="E71" s="262">
        <v>31283</v>
      </c>
      <c r="F71" s="261">
        <f ca="1">IF(Tabla5[[#This Row],[NACIMIENTO]]&lt;&gt;0,YEARFRAC(Tabla5[[#This Row],[NACIMIENTO]],TODAY(),1)," ")</f>
        <v>36.8473232941855</v>
      </c>
    </row>
    <row r="72" ht="15.9" spans="1:6">
      <c r="A72" s="256">
        <v>75103130</v>
      </c>
      <c r="B72" s="257" t="str">
        <f>IF(A72&lt;&gt;0,VLOOKUP(Tabla5[[#This Row],[N° CEDULA]],[1]!BASE_DATOS[#Data],2,0)," ")</f>
        <v>MAURICIO BUENO </v>
      </c>
      <c r="C72" s="258" t="s">
        <v>10</v>
      </c>
      <c r="D72" s="259">
        <v>44604</v>
      </c>
      <c r="E72" s="262">
        <v>31004</v>
      </c>
      <c r="F72" s="261">
        <f ca="1">IF(Tabla5[[#This Row],[NACIMIENTO]]&lt;&gt;0,YEARFRAC(Tabla5[[#This Row],[NACIMIENTO]],TODAY(),1)," ")</f>
        <v>37.6091962091962</v>
      </c>
    </row>
    <row r="73" ht="15.9" spans="1:6">
      <c r="A73" s="256">
        <v>16075760</v>
      </c>
      <c r="B73" s="257" t="str">
        <f>IF(A73&lt;&gt;0,VLOOKUP(Tabla5[[#This Row],[N° CEDULA]],[1]!BASE_DATOS[#Data],2,0)," ")</f>
        <v>RICARDO ANDRES BARCO CARDONA</v>
      </c>
      <c r="C73" s="258" t="s">
        <v>10</v>
      </c>
      <c r="D73" s="259">
        <v>44604</v>
      </c>
      <c r="E73" s="262">
        <v>30477</v>
      </c>
      <c r="F73" s="261">
        <f ca="1">IF(Tabla5[[#This Row],[NACIMIENTO]]&lt;&gt;0,YEARFRAC(Tabla5[[#This Row],[NACIMIENTO]],TODAY(),1)," ")</f>
        <v>39.0527036276523</v>
      </c>
    </row>
    <row r="74" ht="15.9" spans="1:6">
      <c r="A74" s="256">
        <v>75089895</v>
      </c>
      <c r="B74" s="257" t="str">
        <f>IF(A74&lt;&gt;0,VLOOKUP(Tabla5[[#This Row],[N° CEDULA]],[1]!BASE_DATOS[#Data],2,0)," ")</f>
        <v>RODOLFO PINEDA GIRALDO</v>
      </c>
      <c r="C74" s="258" t="s">
        <v>10</v>
      </c>
      <c r="D74" s="259">
        <v>44604</v>
      </c>
      <c r="E74" s="262">
        <v>28855</v>
      </c>
      <c r="F74" s="261">
        <f ca="1">IF(Tabla5[[#This Row],[NACIMIENTO]]&lt;&gt;0,YEARFRAC(Tabla5[[#This Row],[NACIMIENTO]],TODAY(),1)," ")</f>
        <v>43.4941591628133</v>
      </c>
    </row>
    <row r="75" ht="15.9" spans="1:6">
      <c r="A75" s="256">
        <v>5358718</v>
      </c>
      <c r="B75" s="257" t="str">
        <f>IF(A75&lt;&gt;0,VLOOKUP(Tabla5[[#This Row],[N° CEDULA]],[1]!BASE_DATOS[#Data],2,0)," ")</f>
        <v>YAHIR EUGENIO GARCIA SEIJAS</v>
      </c>
      <c r="C75" s="258" t="s">
        <v>10</v>
      </c>
      <c r="D75" s="259">
        <v>44604</v>
      </c>
      <c r="E75" s="262">
        <v>29797</v>
      </c>
      <c r="F75" s="261">
        <f ca="1">IF(Tabla5[[#This Row],[NACIMIENTO]]&lt;&gt;0,YEARFRAC(Tabla5[[#This Row],[NACIMIENTO]],TODAY(),1)," ")</f>
        <v>40.9157757496741</v>
      </c>
    </row>
    <row r="76" ht="15.9" spans="1:6">
      <c r="A76" s="256">
        <v>75107375</v>
      </c>
      <c r="B76" s="257" t="str">
        <f>IF(A76&lt;&gt;0,VLOOKUP(Tabla5[[#This Row],[N° CEDULA]],[1]!BASE_DATOS[#Data],2,0)," ")</f>
        <v>YAMID HENAO CASTAÑEDA</v>
      </c>
      <c r="C76" s="258" t="s">
        <v>10</v>
      </c>
      <c r="D76" s="259">
        <v>44646</v>
      </c>
      <c r="E76" s="262"/>
      <c r="F76" s="261" t="str">
        <f ca="1">IF(Tabla5[[#This Row],[NACIMIENTO]]&lt;&gt;0,YEARFRAC(Tabla5[[#This Row],[NACIMIENTO]],TODAY(),1)," ")</f>
        <v> </v>
      </c>
    </row>
    <row r="77" ht="15.9" spans="1:6">
      <c r="A77" s="256">
        <v>16079807</v>
      </c>
      <c r="B77" s="257" t="str">
        <f>IF(A77&lt;&gt;0,VLOOKUP(Tabla5[[#This Row],[N° CEDULA]],[1]!BASE_DATOS[#Data],2,0)," ")</f>
        <v>ANDRES FELIPE LOAIZA ZULUAGA</v>
      </c>
      <c r="C77" s="258" t="s">
        <v>11</v>
      </c>
      <c r="D77" s="259">
        <v>44639</v>
      </c>
      <c r="E77" s="262">
        <v>30821</v>
      </c>
      <c r="F77" s="261">
        <f ca="1">IF(Tabla5[[#This Row],[NACIMIENTO]]&lt;&gt;0,YEARFRAC(Tabla5[[#This Row],[NACIMIENTO]],TODAY(),1)," ")</f>
        <v>38.1102141102141</v>
      </c>
    </row>
    <row r="78" ht="15.9" spans="1:6">
      <c r="A78" s="256">
        <v>1053766351</v>
      </c>
      <c r="B78" s="257" t="str">
        <f>IF(A78&lt;&gt;0,VLOOKUP(Tabla5[[#This Row],[N° CEDULA]],[1]!BASE_DATOS[#Data],2,0)," ")</f>
        <v>ANDRES MAURICIO GOMEZ GOMEZ</v>
      </c>
      <c r="C78" s="258" t="s">
        <v>11</v>
      </c>
      <c r="D78" s="259">
        <v>44604</v>
      </c>
      <c r="E78" s="262">
        <v>31538</v>
      </c>
      <c r="F78" s="261">
        <f ca="1">IF(Tabla5[[#This Row],[NACIMIENTO]]&lt;&gt;0,YEARFRAC(Tabla5[[#This Row],[NACIMIENTO]],TODAY(),1)," ")</f>
        <v>36.1485126535445</v>
      </c>
    </row>
    <row r="79" ht="15.9" spans="1:6">
      <c r="A79" s="256">
        <v>75102078</v>
      </c>
      <c r="B79" s="257" t="str">
        <f>IF(A79&lt;&gt;0,VLOOKUP(Tabla5[[#This Row],[N° CEDULA]],[1]!BASE_DATOS[#Data],2,0)," ")</f>
        <v>DARINSON RENTERIA LEMUS</v>
      </c>
      <c r="C79" s="258" t="s">
        <v>11</v>
      </c>
      <c r="D79" s="259">
        <v>44604</v>
      </c>
      <c r="E79" s="262">
        <v>30709</v>
      </c>
      <c r="F79" s="261">
        <f ca="1">IF(Tabla5[[#This Row],[NACIMIENTO]]&lt;&gt;0,YEARFRAC(Tabla5[[#This Row],[NACIMIENTO]],TODAY(),1)," ")</f>
        <v>38.416848016848</v>
      </c>
    </row>
    <row r="80" ht="15.9" spans="1:6">
      <c r="A80" s="256">
        <v>9975933</v>
      </c>
      <c r="B80" s="257" t="str">
        <f>IF(A80&lt;&gt;0,VLOOKUP(Tabla5[[#This Row],[N° CEDULA]],[1]!BASE_DATOS[#Data],2,0)," ")</f>
        <v>DIDIER ANDRES QUINTERO ARANGO</v>
      </c>
      <c r="C80" s="258" t="s">
        <v>11</v>
      </c>
      <c r="D80" s="259">
        <v>44604</v>
      </c>
      <c r="E80" s="262">
        <v>29468</v>
      </c>
      <c r="F80" s="261">
        <f ca="1">IF(Tabla5[[#This Row],[NACIMIENTO]]&lt;&gt;0,YEARFRAC(Tabla5[[#This Row],[NACIMIENTO]],TODAY(),1)," ")</f>
        <v>41.8145294791799</v>
      </c>
    </row>
    <row r="81" ht="15.9" spans="1:6">
      <c r="A81" s="256">
        <v>75074760</v>
      </c>
      <c r="B81" s="257" t="str">
        <f>IF(A81&lt;&gt;0,VLOOKUP(Tabla5[[#This Row],[N° CEDULA]],[1]!BASE_DATOS[#Data],2,0)," ")</f>
        <v>FERNAN ALONSO MUÑOZ OSORIO</v>
      </c>
      <c r="C81" s="258" t="s">
        <v>11</v>
      </c>
      <c r="D81" s="259">
        <v>44604</v>
      </c>
      <c r="E81" s="263">
        <v>27114</v>
      </c>
      <c r="F81" s="264">
        <f ca="1">IF(Tabla5[[#This Row],[NACIMIENTO]]&lt;&gt;0,YEARFRAC(Tabla5[[#This Row],[NACIMIENTO]],TODAY(),1)," ")</f>
        <v>48.2607699614461</v>
      </c>
    </row>
    <row r="82" ht="15.9" spans="1:6">
      <c r="A82" s="256">
        <v>16090400</v>
      </c>
      <c r="B82" s="257" t="str">
        <f>IF(A82&lt;&gt;0,VLOOKUP(Tabla5[[#This Row],[N° CEDULA]],[1]!BASE_DATOS[#Data],2,0)," ")</f>
        <v>HERNAN AUGUSTO SALAZAR MAHECHA</v>
      </c>
      <c r="C82" s="258" t="s">
        <v>11</v>
      </c>
      <c r="D82" s="259">
        <v>44604</v>
      </c>
      <c r="E82" s="262">
        <v>30520</v>
      </c>
      <c r="F82" s="261">
        <f ca="1">IF(Tabla5[[#This Row],[NACIMIENTO]]&lt;&gt;0,YEARFRAC(Tabla5[[#This Row],[NACIMIENTO]],TODAY(),1)," ")</f>
        <v>38.9349760438056</v>
      </c>
    </row>
    <row r="83" ht="15.9" spans="1:6">
      <c r="A83" s="256">
        <v>16077846</v>
      </c>
      <c r="B83" s="257" t="str">
        <f>IF(A83&lt;&gt;0,VLOOKUP(Tabla5[[#This Row],[N° CEDULA]],[1]!BASE_DATOS[#Data],2,0)," ")</f>
        <v>JHON EDISON ARBOLEDA DUQUE</v>
      </c>
      <c r="C83" s="258" t="s">
        <v>11</v>
      </c>
      <c r="D83" s="259">
        <v>44604</v>
      </c>
      <c r="E83" s="262">
        <v>30644</v>
      </c>
      <c r="F83" s="261">
        <f ca="1">IF(Tabla5[[#This Row],[NACIMIENTO]]&lt;&gt;0,YEARFRAC(Tabla5[[#This Row],[NACIMIENTO]],TODAY(),1)," ")</f>
        <v>38.5954825462012</v>
      </c>
    </row>
    <row r="84" ht="15.9" spans="1:6">
      <c r="A84" s="256">
        <v>16075218</v>
      </c>
      <c r="B84" s="257" t="str">
        <f>IF(A84&lt;&gt;0,VLOOKUP(Tabla5[[#This Row],[N° CEDULA]],[1]!BASE_DATOS[#Data],2,0)," ")</f>
        <v>JORGE ARMANDO MARTINEZ DELGADO</v>
      </c>
      <c r="C84" s="258" t="s">
        <v>11</v>
      </c>
      <c r="D84" s="259">
        <v>44639</v>
      </c>
      <c r="E84" s="262">
        <v>30421</v>
      </c>
      <c r="F84" s="261">
        <f ca="1">IF(Tabla5[[#This Row],[NACIMIENTO]]&lt;&gt;0,YEARFRAC(Tabla5[[#This Row],[NACIMIENTO]],TODAY(),1)," ")</f>
        <v>39.2060232717317</v>
      </c>
    </row>
    <row r="85" ht="15.9" spans="1:6">
      <c r="A85" s="256">
        <v>75095553</v>
      </c>
      <c r="B85" s="257" t="str">
        <f>IF(A85&lt;&gt;0,VLOOKUP(Tabla5[[#This Row],[N° CEDULA]],[1]!BASE_DATOS[#Data],2,0)," ")</f>
        <v>JOSE IGNACIO PARRA VILLEGAS</v>
      </c>
      <c r="C85" s="258" t="s">
        <v>11</v>
      </c>
      <c r="D85" s="259">
        <v>44611</v>
      </c>
      <c r="E85" s="262"/>
      <c r="F85" s="261" t="str">
        <f ca="1">IF(Tabla5[[#This Row],[NACIMIENTO]]&lt;&gt;0,YEARFRAC(Tabla5[[#This Row],[NACIMIENTO]],TODAY(),1)," ")</f>
        <v> </v>
      </c>
    </row>
    <row r="86" ht="15.9" spans="1:6">
      <c r="A86" s="256">
        <v>75092966</v>
      </c>
      <c r="B86" s="257" t="str">
        <f>IF(A86&lt;&gt;0,VLOOKUP(Tabla5[[#This Row],[N° CEDULA]],[1]!BASE_DATOS[#Data],2,0)," ")</f>
        <v>JOSE ROBINSON ARBOLEDA DUQUE</v>
      </c>
      <c r="C86" s="258" t="s">
        <v>11</v>
      </c>
      <c r="D86" s="259">
        <v>44604</v>
      </c>
      <c r="E86" s="262">
        <v>29211</v>
      </c>
      <c r="F86" s="261">
        <f ca="1">IF(Tabla5[[#This Row],[NACIMIENTO]]&lt;&gt;0,YEARFRAC(Tabla5[[#This Row],[NACIMIENTO]],TODAY(),1)," ")</f>
        <v>42.5188227241615</v>
      </c>
    </row>
    <row r="87" ht="15.9" spans="1:6">
      <c r="A87" s="256">
        <v>1053771371</v>
      </c>
      <c r="B87" s="257" t="str">
        <f>IF(A87&lt;&gt;0,VLOOKUP(Tabla5[[#This Row],[N° CEDULA]],[1]!BASE_DATOS[#Data],2,0)," ")</f>
        <v>OSCAR ALEXANDER HERNANDEZ COJO</v>
      </c>
      <c r="C87" s="258" t="s">
        <v>11</v>
      </c>
      <c r="D87" s="259">
        <v>44604</v>
      </c>
      <c r="E87" s="262">
        <v>31671</v>
      </c>
      <c r="F87" s="261">
        <f ca="1">IF(Tabla5[[#This Row],[NACIMIENTO]]&lt;&gt;0,YEARFRAC(Tabla5[[#This Row],[NACIMIENTO]],TODAY(),1)," ")</f>
        <v>35.7843717626165</v>
      </c>
    </row>
    <row r="88" ht="15.9" spans="1:6">
      <c r="A88" s="256">
        <v>9977689</v>
      </c>
      <c r="B88" s="257" t="str">
        <f>IF(A88&lt;&gt;0,VLOOKUP(Tabla5[[#This Row],[N° CEDULA]],[1]!BASE_DATOS[#Data],2,0)," ")</f>
        <v>ROBINSON ECHEVERRY VALENCIA</v>
      </c>
      <c r="C88" s="258" t="s">
        <v>11</v>
      </c>
      <c r="D88" s="259">
        <v>44604</v>
      </c>
      <c r="E88" s="262">
        <v>31378</v>
      </c>
      <c r="F88" s="261">
        <f ca="1">IF(Tabla5[[#This Row],[NACIMIENTO]]&lt;&gt;0,YEARFRAC(Tabla5[[#This Row],[NACIMIENTO]],TODAY(),1)," ")</f>
        <v>36.5872180992867</v>
      </c>
    </row>
    <row r="89" ht="15.9" spans="1:6">
      <c r="A89" s="256">
        <v>75099274</v>
      </c>
      <c r="B89" s="257" t="str">
        <f>IF(A89&lt;&gt;0,VLOOKUP(Tabla5[[#This Row],[N° CEDULA]],[1]!BASE_DATOS[#Data],2,0)," ")</f>
        <v>WILMAR ALONSO ZULUAGA GAVIRIA</v>
      </c>
      <c r="C89" s="258" t="s">
        <v>11</v>
      </c>
      <c r="D89" s="259">
        <v>44604</v>
      </c>
      <c r="E89" s="262">
        <v>29456</v>
      </c>
      <c r="F89" s="261">
        <f ca="1">IF(Tabla5[[#This Row],[NACIMIENTO]]&lt;&gt;0,YEARFRAC(Tabla5[[#This Row],[NACIMIENTO]],TODAY(),1)," ")</f>
        <v>41.8473831656692</v>
      </c>
    </row>
    <row r="90" ht="15.9" spans="1:6">
      <c r="A90" s="256">
        <v>16078610</v>
      </c>
      <c r="B90" s="257" t="str">
        <f>IF(A90&lt;&gt;0,VLOOKUP(Tabla5[[#This Row],[N° CEDULA]],[1]!BASE_DATOS[#Data],2,0)," ")</f>
        <v>ANGELO ANDRES CASTRO ARREDONDO</v>
      </c>
      <c r="C90" s="258" t="s">
        <v>12</v>
      </c>
      <c r="D90" s="259">
        <v>44632</v>
      </c>
      <c r="E90" s="262">
        <v>30558</v>
      </c>
      <c r="F90" s="261">
        <f ca="1">IF(Tabla5[[#This Row],[NACIMIENTO]]&lt;&gt;0,YEARFRAC(Tabla5[[#This Row],[NACIMIENTO]],TODAY(),1)," ")</f>
        <v>38.8309377138946</v>
      </c>
    </row>
    <row r="91" ht="15.9" spans="1:6">
      <c r="A91" s="256">
        <v>9976733</v>
      </c>
      <c r="B91" s="257" t="str">
        <f>IF(A91&lt;&gt;0,VLOOKUP(Tabla5[[#This Row],[N° CEDULA]],[1]!BASE_DATOS[#Data],2,0)," ")</f>
        <v>CARLOS ALFONSO LOPEZ VILLEGAS</v>
      </c>
      <c r="C91" s="258" t="s">
        <v>12</v>
      </c>
      <c r="D91" s="259">
        <v>44632</v>
      </c>
      <c r="E91" s="262">
        <v>30230</v>
      </c>
      <c r="F91" s="261">
        <f ca="1">IF(Tabla5[[#This Row],[NACIMIENTO]]&lt;&gt;0,YEARFRAC(Tabla5[[#This Row],[NACIMIENTO]],TODAY(),1)," ")</f>
        <v>39.7296160267112</v>
      </c>
    </row>
    <row r="92" ht="15.9" spans="1:6">
      <c r="A92" s="256">
        <v>75085740</v>
      </c>
      <c r="B92" s="257" t="str">
        <f>IF(A92&lt;&gt;0,VLOOKUP(Tabla5[[#This Row],[N° CEDULA]],[1]!BASE_DATOS[#Data],2,0)," ")</f>
        <v>CARLOS ANDRES OCAMPO OCAMPO</v>
      </c>
      <c r="C92" s="258" t="s">
        <v>12</v>
      </c>
      <c r="D92" s="259">
        <v>44646</v>
      </c>
      <c r="E92" s="262">
        <v>28282</v>
      </c>
      <c r="F92" s="261">
        <f ca="1">IF(Tabla5[[#This Row],[NACIMIENTO]]&lt;&gt;0,YEARFRAC(Tabla5[[#This Row],[NACIMIENTO]],TODAY(),1)," ")</f>
        <v>45.0636271650497</v>
      </c>
    </row>
    <row r="93" ht="15.9" spans="1:6">
      <c r="A93" s="256">
        <v>75099573</v>
      </c>
      <c r="B93" s="257" t="str">
        <f>IF(A93&lt;&gt;0,VLOOKUP(Tabla5[[#This Row],[N° CEDULA]],[1]!BASE_DATOS[#Data],2,0)," ")</f>
        <v>DIONEIDER CARVAJAL OSORIO</v>
      </c>
      <c r="C93" s="258" t="s">
        <v>12</v>
      </c>
      <c r="D93" s="259">
        <v>44653</v>
      </c>
      <c r="E93" s="262"/>
      <c r="F93" s="261" t="str">
        <f ca="1">IF(Tabla5[[#This Row],[NACIMIENTO]]&lt;&gt;0,YEARFRAC(Tabla5[[#This Row],[NACIMIENTO]],TODAY(),1)," ")</f>
        <v> </v>
      </c>
    </row>
    <row r="94" ht="15.9" spans="1:6">
      <c r="A94" s="256">
        <v>16070622</v>
      </c>
      <c r="B94" s="257" t="str">
        <f>IF(A94&lt;&gt;0,VLOOKUP(Tabla5[[#This Row],[N° CEDULA]],[1]!BASE_DATOS[#Data],2,0)," ")</f>
        <v>EZEQUIEL GOMEZ SANCHEZ</v>
      </c>
      <c r="C94" s="258" t="s">
        <v>12</v>
      </c>
      <c r="D94" s="259">
        <v>44653</v>
      </c>
      <c r="E94" s="262"/>
      <c r="F94" s="261" t="str">
        <f ca="1">IF(Tabla5[[#This Row],[NACIMIENTO]]&lt;&gt;0,YEARFRAC(Tabla5[[#This Row],[NACIMIENTO]],TODAY(),1)," ")</f>
        <v> </v>
      </c>
    </row>
    <row r="95" ht="15.9" spans="1:6">
      <c r="A95" s="256">
        <v>16076960</v>
      </c>
      <c r="B95" s="257" t="str">
        <f>IF(A95&lt;&gt;0,VLOOKUP(Tabla5[[#This Row],[N° CEDULA]],[1]!BASE_DATOS[#Data],2,0)," ")</f>
        <v>FELIPE ALBERTO MUÑOZ LOPEZ</v>
      </c>
      <c r="C95" s="258" t="s">
        <v>12</v>
      </c>
      <c r="D95" s="259">
        <v>44632</v>
      </c>
      <c r="E95" s="262">
        <v>29693</v>
      </c>
      <c r="F95" s="261">
        <f ca="1">IF(Tabla5[[#This Row],[NACIMIENTO]]&lt;&gt;0,YEARFRAC(Tabla5[[#This Row],[NACIMIENTO]],TODAY(),1)," ")</f>
        <v>41.2005215123859</v>
      </c>
    </row>
    <row r="96" ht="15.9" spans="1:6">
      <c r="A96" s="256">
        <v>75097209</v>
      </c>
      <c r="B96" s="257" t="str">
        <f>IF(A96&lt;&gt;0,VLOOKUP(Tabla5[[#This Row],[N° CEDULA]],[1]!BASE_DATOS[#Data],2,0)," ")</f>
        <v>HECTOR ENRIQUE PAYAN BOTERO</v>
      </c>
      <c r="C96" s="258" t="s">
        <v>12</v>
      </c>
      <c r="D96" s="259">
        <v>44632</v>
      </c>
      <c r="E96" s="262">
        <v>29644</v>
      </c>
      <c r="F96" s="261">
        <f ca="1">IF(Tabla5[[#This Row],[NACIMIENTO]]&lt;&gt;0,YEARFRAC(Tabla5[[#This Row],[NACIMIENTO]],TODAY(),1)," ")</f>
        <v>41.3346805736636</v>
      </c>
    </row>
    <row r="97" ht="15.9" spans="1:6">
      <c r="A97" s="256">
        <v>16076680</v>
      </c>
      <c r="B97" s="257" t="str">
        <f>IF(A97&lt;&gt;0,VLOOKUP(Tabla5[[#This Row],[N° CEDULA]],[1]!BASE_DATOS[#Data],2,0)," ")</f>
        <v>HERNAN CASTRILLON GONZALEZ</v>
      </c>
      <c r="C97" s="258" t="s">
        <v>12</v>
      </c>
      <c r="D97" s="259">
        <v>44632</v>
      </c>
      <c r="E97" s="262">
        <v>30211</v>
      </c>
      <c r="F97" s="261">
        <f ca="1">IF(Tabla5[[#This Row],[NACIMIENTO]]&lt;&gt;0,YEARFRAC(Tabla5[[#This Row],[NACIMIENTO]],TODAY(),1)," ")</f>
        <v>39.7816360601002</v>
      </c>
    </row>
    <row r="98" ht="15.9" spans="1:6">
      <c r="A98" s="256">
        <v>16071192</v>
      </c>
      <c r="B98" s="257" t="str">
        <f>IF(A98&lt;&gt;0,VLOOKUP(Tabla5[[#This Row],[N° CEDULA]],[1]!BASE_DATOS[#Data],2,0)," ")</f>
        <v>JOHN FREDY CARDENAS AGUDELO</v>
      </c>
      <c r="C98" s="258" t="s">
        <v>12</v>
      </c>
      <c r="D98" s="259">
        <v>44646</v>
      </c>
      <c r="E98" s="262"/>
      <c r="F98" s="261" t="str">
        <f ca="1">IF(Tabla5[[#This Row],[NACIMIENTO]]&lt;&gt;0,YEARFRAC(Tabla5[[#This Row],[NACIMIENTO]],TODAY(),1)," ")</f>
        <v> </v>
      </c>
    </row>
    <row r="99" ht="15.9" spans="1:6">
      <c r="A99" s="256">
        <v>16071679</v>
      </c>
      <c r="B99" s="257" t="str">
        <f>IF(A99&lt;&gt;0,VLOOKUP(Tabla5[[#This Row],[N° CEDULA]],[1]!BASE_DATOS[#Data],2,0)," ")</f>
        <v>JUAN  DAVID ALARCON GONZALEZ</v>
      </c>
      <c r="C99" s="258" t="s">
        <v>12</v>
      </c>
      <c r="D99" s="259">
        <v>44632</v>
      </c>
      <c r="E99" s="262">
        <v>29898</v>
      </c>
      <c r="F99" s="261">
        <f ca="1">IF(Tabla5[[#This Row],[NACIMIENTO]]&lt;&gt;0,YEARFRAC(Tabla5[[#This Row],[NACIMIENTO]],TODAY(),1)," ")</f>
        <v>40.6392438070404</v>
      </c>
    </row>
    <row r="100" ht="15.9" spans="1:6">
      <c r="A100" s="256">
        <v>9971935</v>
      </c>
      <c r="B100" s="257" t="str">
        <f>IF(A100&lt;&gt;0,VLOOKUP(Tabla5[[#This Row],[N° CEDULA]],[1]!BASE_DATOS[#Data],2,0)," ")</f>
        <v>JUAN PABLO ECHEVERRI GOMEZ</v>
      </c>
      <c r="C100" s="258" t="s">
        <v>12</v>
      </c>
      <c r="D100" s="259">
        <v>44646</v>
      </c>
      <c r="E100" s="262">
        <v>28664</v>
      </c>
      <c r="F100" s="261">
        <f ca="1">IF(Tabla5[[#This Row],[NACIMIENTO]]&lt;&gt;0,YEARFRAC(Tabla5[[#This Row],[NACIMIENTO]],TODAY(),1)," ")</f>
        <v>44.0170966171818</v>
      </c>
    </row>
    <row r="101" ht="15.9" spans="1:6">
      <c r="A101" s="256">
        <v>16072338</v>
      </c>
      <c r="B101" s="257" t="str">
        <f>IF(A101&lt;&gt;0,VLOOKUP(Tabla5[[#This Row],[N° CEDULA]],[1]!BASE_DATOS[#Data],2,0)," ")</f>
        <v>JUAN PABLO OSORIO OCAMPO</v>
      </c>
      <c r="C101" s="258" t="s">
        <v>12</v>
      </c>
      <c r="D101" s="259">
        <v>44632</v>
      </c>
      <c r="E101" s="262">
        <v>29581</v>
      </c>
      <c r="F101" s="261">
        <f ca="1">IF(Tabla5[[#This Row],[NACIMIENTO]]&lt;&gt;0,YEARFRAC(Tabla5[[#This Row],[NACIMIENTO]],TODAY(),1)," ")</f>
        <v>41.5051572647396</v>
      </c>
    </row>
    <row r="102" ht="15.9" spans="1:6">
      <c r="A102" s="256">
        <v>1053769391</v>
      </c>
      <c r="B102" s="257" t="str">
        <f>IF(A102&lt;&gt;0,VLOOKUP(Tabla5[[#This Row],[N° CEDULA]],[1]!BASE_DATOS[#Data],2,0)," ")</f>
        <v>JULIAN DAVID BUITRAGO QUINTERO</v>
      </c>
      <c r="C102" s="258" t="s">
        <v>12</v>
      </c>
      <c r="D102" s="259">
        <v>44632</v>
      </c>
      <c r="E102" s="262">
        <v>31760</v>
      </c>
      <c r="F102" s="261">
        <f ca="1">IF(Tabla5[[#This Row],[NACIMIENTO]]&lt;&gt;0,YEARFRAC(Tabla5[[#This Row],[NACIMIENTO]],TODAY(),1)," ")</f>
        <v>35.5406985348527</v>
      </c>
    </row>
    <row r="103" ht="15.9" spans="1:6">
      <c r="A103" s="256">
        <v>75081602</v>
      </c>
      <c r="B103" s="257" t="str">
        <f>IF(A103&lt;&gt;0,VLOOKUP(Tabla5[[#This Row],[N° CEDULA]],[1]!BASE_DATOS[#Data],2,0)," ")</f>
        <v>LUIS ENRIQUE OCAMPO PEREZ</v>
      </c>
      <c r="C103" s="258" t="s">
        <v>12</v>
      </c>
      <c r="D103" s="259">
        <v>44625</v>
      </c>
      <c r="E103" s="262">
        <v>27989</v>
      </c>
      <c r="F103" s="261">
        <f ca="1">IF(Tabla5[[#This Row],[NACIMIENTO]]&lt;&gt;0,YEARFRAC(Tabla5[[#This Row],[NACIMIENTO]],TODAY(),1)," ")</f>
        <v>45.8638084697385</v>
      </c>
    </row>
    <row r="104" ht="15.9" spans="1:6">
      <c r="A104" s="256">
        <v>75094159</v>
      </c>
      <c r="B104" s="257" t="str">
        <f>IF(A104&lt;&gt;0,VLOOKUP(Tabla5[[#This Row],[N° CEDULA]],[1]!BASE_DATOS[#Data],2,0)," ")</f>
        <v>LUIS GUILLERMO BARRIENTOS</v>
      </c>
      <c r="C104" s="258" t="s">
        <v>12</v>
      </c>
      <c r="D104" s="259">
        <v>44632</v>
      </c>
      <c r="E104" s="262">
        <v>28808</v>
      </c>
      <c r="F104" s="261">
        <f ca="1">IF(Tabla5[[#This Row],[NACIMIENTO]]&lt;&gt;0,YEARFRAC(Tabla5[[#This Row],[NACIMIENTO]],TODAY(),1)," ")</f>
        <v>43.622840107082</v>
      </c>
    </row>
    <row r="105" ht="15.9" spans="1:6">
      <c r="A105" s="256">
        <v>9976458</v>
      </c>
      <c r="B105" s="257" t="str">
        <f>IF(A105&lt;&gt;0,VLOOKUP(Tabla5[[#This Row],[N° CEDULA]],[1]!BASE_DATOS[#Data],2,0)," ")</f>
        <v>NORBERTO GIL AGUIRRE</v>
      </c>
      <c r="C105" s="258" t="s">
        <v>12</v>
      </c>
      <c r="D105" s="259">
        <v>44646</v>
      </c>
      <c r="E105" s="262">
        <v>30023</v>
      </c>
      <c r="F105" s="261">
        <f ca="1">IF(Tabla5[[#This Row],[NACIMIENTO]]&lt;&gt;0,YEARFRAC(Tabla5[[#This Row],[NACIMIENTO]],TODAY(),1)," ")</f>
        <v>40.2963606010017</v>
      </c>
    </row>
    <row r="106" ht="15.9" spans="1:6">
      <c r="A106" s="256">
        <v>75102416</v>
      </c>
      <c r="B106" s="257" t="str">
        <f>IF(A106&lt;&gt;0,VLOOKUP(Tabla5[[#This Row],[N° CEDULA]],[1]!BASE_DATOS[#Data],2,0)," ")</f>
        <v>VICTOR ALFONSO AGUDELO ABAD</v>
      </c>
      <c r="C106" s="258" t="s">
        <v>12</v>
      </c>
      <c r="D106" s="259">
        <v>44646</v>
      </c>
      <c r="E106" s="262">
        <v>30967</v>
      </c>
      <c r="F106" s="261">
        <f ca="1">IF(Tabla5[[#This Row],[NACIMIENTO]]&lt;&gt;0,YEARFRAC(Tabla5[[#This Row],[NACIMIENTO]],TODAY(),1)," ")</f>
        <v>37.7104949104949</v>
      </c>
    </row>
    <row r="107" ht="15.9" spans="1:6">
      <c r="A107" s="256">
        <v>16072400</v>
      </c>
      <c r="B107" s="257" t="str">
        <f>IF(A107&lt;&gt;0,VLOOKUP(Tabla5[[#This Row],[N° CEDULA]],[1]!BASE_DATOS[#Data],2,0)," ")</f>
        <v>ANDRES DAVID ARROYAVE ATEHORTUA</v>
      </c>
      <c r="C107" s="258" t="s">
        <v>13</v>
      </c>
      <c r="D107" s="259">
        <v>44618</v>
      </c>
      <c r="E107" s="262">
        <v>30043</v>
      </c>
      <c r="F107" s="261">
        <f ca="1">IF(Tabla5[[#This Row],[NACIMIENTO]]&lt;&gt;0,YEARFRAC(Tabla5[[#This Row],[NACIMIENTO]],TODAY(),1)," ")</f>
        <v>40.2416026711185</v>
      </c>
    </row>
    <row r="108" ht="15.9" spans="1:6">
      <c r="A108" s="256">
        <v>16079929</v>
      </c>
      <c r="B108" s="257" t="str">
        <f>IF(A108&lt;&gt;0,VLOOKUP(Tabla5[[#This Row],[N° CEDULA]],[1]!BASE_DATOS[#Data],2,0)," ")</f>
        <v>ANDRES FELIPE AGUDELO DIAZ</v>
      </c>
      <c r="C108" s="258" t="s">
        <v>13</v>
      </c>
      <c r="D108" s="259">
        <v>44618</v>
      </c>
      <c r="E108" s="262">
        <v>30717</v>
      </c>
      <c r="F108" s="261">
        <f ca="1">IF(Tabla5[[#This Row],[NACIMIENTO]]&lt;&gt;0,YEARFRAC(Tabla5[[#This Row],[NACIMIENTO]],TODAY(),1)," ")</f>
        <v>38.3949455949456</v>
      </c>
    </row>
    <row r="109" ht="15.9" spans="1:6">
      <c r="A109" s="256">
        <v>75100864</v>
      </c>
      <c r="B109" s="257" t="str">
        <f>IF(A109&lt;&gt;0,VLOOKUP(Tabla5[[#This Row],[N° CEDULA]],[1]!BASE_DATOS[#Data],2,0)," ")</f>
        <v>ANDRES GUIOVANNY GONZALEZ OSORIO</v>
      </c>
      <c r="C109" s="258" t="s">
        <v>13</v>
      </c>
      <c r="D109" s="259">
        <v>44618</v>
      </c>
      <c r="E109" s="262">
        <v>29990</v>
      </c>
      <c r="F109" s="261">
        <f ca="1">IF(Tabla5[[#This Row],[NACIMIENTO]]&lt;&gt;0,YEARFRAC(Tabla5[[#This Row],[NACIMIENTO]],TODAY(),1)," ")</f>
        <v>40.3867111853088</v>
      </c>
    </row>
    <row r="110" ht="15.9" spans="1:6">
      <c r="A110" s="256">
        <v>75096429</v>
      </c>
      <c r="B110" s="257" t="str">
        <f>IF(A110&lt;&gt;0,VLOOKUP(Tabla5[[#This Row],[N° CEDULA]],[1]!BASE_DATOS[#Data],2,0)," ")</f>
        <v>EVER ARMANDO BEDOYA CARDONA</v>
      </c>
      <c r="C110" s="258" t="s">
        <v>13</v>
      </c>
      <c r="D110" s="259">
        <v>44646</v>
      </c>
      <c r="E110" s="262"/>
      <c r="F110" s="261" t="str">
        <f ca="1">IF(Tabla5[[#This Row],[NACIMIENTO]]&lt;&gt;0,YEARFRAC(Tabla5[[#This Row],[NACIMIENTO]],TODAY(),1)," ")</f>
        <v> </v>
      </c>
    </row>
    <row r="111" ht="15.9" spans="1:6">
      <c r="A111" s="256">
        <v>75095515</v>
      </c>
      <c r="B111" s="257" t="str">
        <f>IF(A111&lt;&gt;0,VLOOKUP(Tabla5[[#This Row],[N° CEDULA]],[1]!BASE_DATOS[#Data],2,0)," ")</f>
        <v>JESUS RICARDO GARCIA BARCO</v>
      </c>
      <c r="C111" s="258" t="s">
        <v>13</v>
      </c>
      <c r="D111" s="259">
        <v>44618</v>
      </c>
      <c r="E111" s="262">
        <v>29492</v>
      </c>
      <c r="F111" s="261">
        <f ca="1">IF(Tabla5[[#This Row],[NACIMIENTO]]&lt;&gt;0,YEARFRAC(Tabla5[[#This Row],[NACIMIENTO]],TODAY(),1)," ")</f>
        <v>41.7488221062015</v>
      </c>
    </row>
    <row r="112" ht="15.9" spans="1:6">
      <c r="A112" s="256">
        <v>16073131</v>
      </c>
      <c r="B112" s="257" t="str">
        <f>IF(A112&lt;&gt;0,VLOOKUP(Tabla5[[#This Row],[N° CEDULA]],[1]!BASE_DATOS[#Data],2,0)," ")</f>
        <v>JOAN MAURICIO SIERRA GARCIA</v>
      </c>
      <c r="C112" s="258" t="s">
        <v>13</v>
      </c>
      <c r="D112" s="259">
        <v>44618</v>
      </c>
      <c r="E112" s="262">
        <v>30284</v>
      </c>
      <c r="F112" s="261">
        <f ca="1">IF(Tabla5[[#This Row],[NACIMIENTO]]&lt;&gt;0,YEARFRAC(Tabla5[[#This Row],[NACIMIENTO]],TODAY(),1)," ")</f>
        <v>39.5817696160267</v>
      </c>
    </row>
    <row r="113" ht="15.9" spans="1:6">
      <c r="A113" s="256">
        <v>1053775828</v>
      </c>
      <c r="B113" s="257" t="str">
        <f>IF(A113&lt;&gt;0,VLOOKUP(Tabla5[[#This Row],[N° CEDULA]],[1]!BASE_DATOS[#Data],2,0)," ")</f>
        <v>JOHN ALEXANDER VARGAS MARIN</v>
      </c>
      <c r="C113" s="258" t="s">
        <v>13</v>
      </c>
      <c r="D113" s="259">
        <v>44625</v>
      </c>
      <c r="E113" s="262"/>
      <c r="F113" s="261" t="str">
        <f ca="1">IF(Tabla5[[#This Row],[NACIMIENTO]]&lt;&gt;0,YEARFRAC(Tabla5[[#This Row],[NACIMIENTO]],TODAY(),1)," ")</f>
        <v> </v>
      </c>
    </row>
    <row r="114" ht="15.9" spans="1:6">
      <c r="A114" s="256">
        <v>75103643</v>
      </c>
      <c r="B114" s="257" t="str">
        <f>IF(A114&lt;&gt;0,VLOOKUP(Tabla5[[#This Row],[N° CEDULA]],[1]!BASE_DATOS[#Data],2,0)," ")</f>
        <v>JORGE IVAN MOSQUERA DUQUE</v>
      </c>
      <c r="C114" s="258" t="s">
        <v>13</v>
      </c>
      <c r="D114" s="259">
        <v>44632</v>
      </c>
      <c r="E114" s="262">
        <v>31183</v>
      </c>
      <c r="F114" s="261">
        <f ca="1">IF(Tabla5[[#This Row],[NACIMIENTO]]&lt;&gt;0,YEARFRAC(Tabla5[[#This Row],[NACIMIENTO]],TODAY(),1)," ")</f>
        <v>37.1211182361842</v>
      </c>
    </row>
    <row r="115" ht="15.9" spans="1:6">
      <c r="A115" s="256">
        <v>1053774680</v>
      </c>
      <c r="B115" s="257" t="str">
        <f>IF(A115&lt;&gt;0,VLOOKUP(Tabla5[[#This Row],[N° CEDULA]],[1]!BASE_DATOS[#Data],2,0)," ")</f>
        <v>JUAN CAMILO SALGADO PALACIOS</v>
      </c>
      <c r="C115" s="258" t="s">
        <v>13</v>
      </c>
      <c r="D115" s="259">
        <v>44660</v>
      </c>
      <c r="E115" s="262"/>
      <c r="F115" s="261" t="str">
        <f ca="1">IF(Tabla5[[#This Row],[NACIMIENTO]]&lt;&gt;0,YEARFRAC(Tabla5[[#This Row],[NACIMIENTO]],TODAY(),1)," ")</f>
        <v> </v>
      </c>
    </row>
    <row r="116" ht="15.9" spans="1:6">
      <c r="A116" s="256">
        <v>9977350</v>
      </c>
      <c r="B116" s="257" t="str">
        <f>IF(A116&lt;&gt;0,VLOOKUP(Tabla5[[#This Row],[N° CEDULA]],[1]!BASE_DATOS[#Data],2,0)," ")</f>
        <v>JUAN PABLO CARDONA GIRALDO</v>
      </c>
      <c r="C116" s="258" t="s">
        <v>13</v>
      </c>
      <c r="D116" s="259">
        <v>44646</v>
      </c>
      <c r="E116" s="262">
        <v>30619</v>
      </c>
      <c r="F116" s="261">
        <f ca="1">IF(Tabla5[[#This Row],[NACIMIENTO]]&lt;&gt;0,YEARFRAC(Tabla5[[#This Row],[NACIMIENTO]],TODAY(),1)," ")</f>
        <v>38.6639288158795</v>
      </c>
    </row>
    <row r="117" ht="15.9" spans="1:6">
      <c r="A117" s="256">
        <v>75103678</v>
      </c>
      <c r="B117" s="257" t="str">
        <f>IF(A117&lt;&gt;0,VLOOKUP(Tabla5[[#This Row],[N° CEDULA]],[1]!BASE_DATOS[#Data],2,0)," ")</f>
        <v>JULIAN ANDRES GAVIRIA LOPEZ</v>
      </c>
      <c r="C117" s="258" t="s">
        <v>13</v>
      </c>
      <c r="D117" s="259">
        <v>44618</v>
      </c>
      <c r="E117" s="262">
        <v>31035</v>
      </c>
      <c r="F117" s="261">
        <f ca="1">IF(Tabla5[[#This Row],[NACIMIENTO]]&lt;&gt;0,YEARFRAC(Tabla5[[#This Row],[NACIMIENTO]],TODAY(),1)," ")</f>
        <v>37.5243243243243</v>
      </c>
    </row>
    <row r="118" ht="15.9" spans="1:6">
      <c r="A118" s="256">
        <v>1053771892</v>
      </c>
      <c r="B118" s="257" t="str">
        <f>IF(A118&lt;&gt;0,VLOOKUP(Tabla5[[#This Row],[N° CEDULA]],[1]!BASE_DATOS[#Data],2,0)," ")</f>
        <v>JULIAN ANDRES QUINTERO ARIAS</v>
      </c>
      <c r="C118" s="258" t="s">
        <v>13</v>
      </c>
      <c r="D118" s="259">
        <v>44632</v>
      </c>
      <c r="E118" s="262">
        <v>31700</v>
      </c>
      <c r="F118" s="261">
        <f ca="1">IF(Tabla5[[#This Row],[NACIMIENTO]]&lt;&gt;0,YEARFRAC(Tabla5[[#This Row],[NACIMIENTO]],TODAY(),1)," ")</f>
        <v>35.7049726209856</v>
      </c>
    </row>
    <row r="119" ht="15.9" spans="1:6">
      <c r="A119" s="256">
        <v>1053778618</v>
      </c>
      <c r="B119" s="257" t="str">
        <f>IF(A119&lt;&gt;0,VLOOKUP(Tabla5[[#This Row],[N° CEDULA]],[1]!BASE_DATOS[#Data],2,0)," ")</f>
        <v>JULIAN ANTONIO GALVEZ RAMIREZ</v>
      </c>
      <c r="C119" s="258" t="s">
        <v>13</v>
      </c>
      <c r="D119" s="259">
        <v>44646</v>
      </c>
      <c r="E119" s="262">
        <v>31815</v>
      </c>
      <c r="F119" s="261">
        <f ca="1">IF(Tabla5[[#This Row],[NACIMIENTO]]&lt;&gt;0,YEARFRAC(Tabla5[[#This Row],[NACIMIENTO]],TODAY(),1)," ")</f>
        <v>35.3894592744695</v>
      </c>
    </row>
    <row r="120" ht="15.9" spans="1:6">
      <c r="A120" s="256">
        <v>75087880</v>
      </c>
      <c r="B120" s="257" t="str">
        <f>IF(A120&lt;&gt;0,VLOOKUP(Tabla5[[#This Row],[N° CEDULA]],[1]!BASE_DATOS[#Data],2,0)," ")</f>
        <v>JULIO CESAR GONZALEZ LOTERO</v>
      </c>
      <c r="C120" s="258" t="s">
        <v>13</v>
      </c>
      <c r="D120" s="259">
        <v>44646</v>
      </c>
      <c r="E120" s="262">
        <v>28657</v>
      </c>
      <c r="F120" s="261">
        <f ca="1">IF(Tabla5[[#This Row],[NACIMIENTO]]&lt;&gt;0,YEARFRAC(Tabla5[[#This Row],[NACIMIENTO]],TODAY(),1)," ")</f>
        <v>44.0362618642005</v>
      </c>
    </row>
    <row r="121" ht="15.9" spans="1:6">
      <c r="A121" s="256">
        <v>1053775881</v>
      </c>
      <c r="B121" s="257" t="str">
        <f>IF(A121&lt;&gt;0,VLOOKUP(Tabla5[[#This Row],[N° CEDULA]],[1]!BASE_DATOS[#Data],2,0)," ")</f>
        <v>LUIS FERNANDO GALLO GARCIA</v>
      </c>
      <c r="C121" s="258" t="s">
        <v>13</v>
      </c>
      <c r="D121" s="259">
        <v>44632</v>
      </c>
      <c r="E121" s="262">
        <v>31625</v>
      </c>
      <c r="F121" s="261">
        <f ca="1">IF(Tabla5[[#This Row],[NACIMIENTO]]&lt;&gt;0,YEARFRAC(Tabla5[[#This Row],[NACIMIENTO]],TODAY(),1)," ")</f>
        <v>35.9103152286518</v>
      </c>
    </row>
    <row r="122" ht="15.9" spans="1:6">
      <c r="A122" s="256">
        <v>9976325</v>
      </c>
      <c r="B122" s="257" t="str">
        <f>IF(A122&lt;&gt;0,VLOOKUP(Tabla5[[#This Row],[N° CEDULA]],[1]!BASE_DATOS[#Data],2,0)," ")</f>
        <v>MAURICIO ATEHORTUA GRISALES </v>
      </c>
      <c r="C122" s="258" t="s">
        <v>13</v>
      </c>
      <c r="D122" s="259">
        <v>44639</v>
      </c>
      <c r="E122" s="262">
        <v>29606</v>
      </c>
      <c r="F122" s="261">
        <f ca="1">IF(Tabla5[[#This Row],[NACIMIENTO]]&lt;&gt;0,YEARFRAC(Tabla5[[#This Row],[NACIMIENTO]],TODAY(),1)," ")</f>
        <v>41.4387222946545</v>
      </c>
    </row>
    <row r="123" ht="15.9" spans="1:6">
      <c r="A123" s="256">
        <v>75102225</v>
      </c>
      <c r="B123" s="257" t="str">
        <f>IF(A123&lt;&gt;0,VLOOKUP(Tabla5[[#This Row],[N° CEDULA]],[1]!BASE_DATOS[#Data],2,0)," ")</f>
        <v>ROBERTH MAURICIO BEDOYA OCAMPO</v>
      </c>
      <c r="C123" s="258" t="s">
        <v>13</v>
      </c>
      <c r="D123" s="259">
        <v>44618</v>
      </c>
      <c r="E123" s="262">
        <v>30849</v>
      </c>
      <c r="F123" s="261">
        <f ca="1">IF(Tabla5[[#This Row],[NACIMIENTO]]&lt;&gt;0,YEARFRAC(Tabla5[[#This Row],[NACIMIENTO]],TODAY(),1)," ")</f>
        <v>38.0335556335556</v>
      </c>
    </row>
    <row r="124" ht="15.9" spans="1:6">
      <c r="A124" s="256">
        <v>16076018</v>
      </c>
      <c r="B124" s="257" t="str">
        <f>IF(A124&lt;&gt;0,VLOOKUP(Tabla5[[#This Row],[N° CEDULA]],[1]!BASE_DATOS[#Data],2,0)," ")</f>
        <v>VICTOR HUGO OROZCO GUARIN</v>
      </c>
      <c r="C124" s="258" t="s">
        <v>13</v>
      </c>
      <c r="D124" s="259">
        <v>44660</v>
      </c>
      <c r="E124" s="262"/>
      <c r="F124" s="261" t="str">
        <f ca="1">IF(Tabla5[[#This Row],[NACIMIENTO]]&lt;&gt;0,YEARFRAC(Tabla5[[#This Row],[NACIMIENTO]],TODAY(),1)," ")</f>
        <v> </v>
      </c>
    </row>
    <row r="125" ht="15.9" spans="1:6">
      <c r="A125" s="256">
        <v>14325667</v>
      </c>
      <c r="B125" s="257" t="str">
        <f>IF(A125&lt;&gt;0,VLOOKUP(Tabla5[[#This Row],[N° CEDULA]],[1]!BASE_DATOS[#Data],2,0)," ")</f>
        <v>YOBANI ALEXANDER VILLAMIZAR SUAREZ</v>
      </c>
      <c r="C125" s="258" t="s">
        <v>13</v>
      </c>
      <c r="D125" s="259">
        <v>44646</v>
      </c>
      <c r="E125" s="262">
        <v>29576</v>
      </c>
      <c r="F125" s="261">
        <f ca="1">IF(Tabla5[[#This Row],[NACIMIENTO]]&lt;&gt;0,YEARFRAC(Tabla5[[#This Row],[NACIMIENTO]],TODAY(),1)," ")</f>
        <v>41.5188463007768</v>
      </c>
    </row>
    <row r="126" ht="15.9" spans="1:6">
      <c r="A126" s="256">
        <v>75106483</v>
      </c>
      <c r="B126" s="257" t="str">
        <f>IF(A126&lt;&gt;0,VLOOKUP(Tabla5[[#This Row],[N° CEDULA]],[1]!BASE_DATOS[#Data],2,0)," ")</f>
        <v>ALEJANDRO RENDON ORTIZ</v>
      </c>
      <c r="C126" s="258" t="s">
        <v>14</v>
      </c>
      <c r="D126" s="259">
        <v>44639</v>
      </c>
      <c r="E126" s="262"/>
      <c r="F126" s="261" t="str">
        <f ca="1">IF(Tabla5[[#This Row],[NACIMIENTO]]&lt;&gt;0,YEARFRAC(Tabla5[[#This Row],[NACIMIENTO]],TODAY(),1)," ")</f>
        <v> </v>
      </c>
    </row>
    <row r="127" ht="15.9" spans="1:6">
      <c r="A127" s="256">
        <v>88193127</v>
      </c>
      <c r="B127" s="257" t="str">
        <f>IF(A127&lt;&gt;0,VLOOKUP(Tabla5[[#This Row],[N° CEDULA]],[1]!BASE_DATOS[#Data],2,0)," ")</f>
        <v>ALEXANDER ALVARAN ALVARAN</v>
      </c>
      <c r="C127" s="258" t="s">
        <v>14</v>
      </c>
      <c r="D127" s="259">
        <v>44625</v>
      </c>
      <c r="E127" s="262">
        <v>28691</v>
      </c>
      <c r="F127" s="261">
        <f ca="1">IF(Tabla5[[#This Row],[NACIMIENTO]]&lt;&gt;0,YEARFRAC(Tabla5[[#This Row],[NACIMIENTO]],TODAY(),1)," ")</f>
        <v>43.9431735215381</v>
      </c>
    </row>
    <row r="128" ht="15.9" spans="1:6">
      <c r="A128" s="256">
        <v>75101729</v>
      </c>
      <c r="B128" s="257" t="str">
        <f>IF(A128&lt;&gt;0,VLOOKUP(Tabla5[[#This Row],[N° CEDULA]],[1]!BASE_DATOS[#Data],2,0)," ")</f>
        <v>ANDRES FELIPE GIRALDO VELEZ</v>
      </c>
      <c r="C128" s="258" t="s">
        <v>14</v>
      </c>
      <c r="D128" s="259">
        <v>44660</v>
      </c>
      <c r="E128" s="262"/>
      <c r="F128" s="261" t="str">
        <f ca="1">IF(Tabla5[[#This Row],[NACIMIENTO]]&lt;&gt;0,YEARFRAC(Tabla5[[#This Row],[NACIMIENTO]],TODAY(),1)," ")</f>
        <v> </v>
      </c>
    </row>
    <row r="129" ht="15.9" spans="1:6">
      <c r="A129" s="256">
        <v>16073236</v>
      </c>
      <c r="B129" s="257" t="str">
        <f>IF(A129&lt;&gt;0,VLOOKUP(Tabla5[[#This Row],[N° CEDULA]],[1]!BASE_DATOS[#Data],2,0)," ")</f>
        <v>ANDRES MAURICIO GRAJALES JIMENEZ</v>
      </c>
      <c r="C129" s="258" t="s">
        <v>14</v>
      </c>
      <c r="D129" s="259">
        <v>44625</v>
      </c>
      <c r="E129" s="262"/>
      <c r="F129" s="261" t="str">
        <f ca="1">IF(Tabla5[[#This Row],[NACIMIENTO]]&lt;&gt;0,YEARFRAC(Tabla5[[#This Row],[NACIMIENTO]],TODAY(),1)," ")</f>
        <v> </v>
      </c>
    </row>
    <row r="130" ht="15.9" spans="1:6">
      <c r="A130" s="256">
        <v>10285303</v>
      </c>
      <c r="B130" s="257" t="str">
        <f>IF(A130&lt;&gt;0,VLOOKUP(Tabla5[[#This Row],[N° CEDULA]],[1]!BASE_DATOS[#Data],2,0)," ")</f>
        <v>AUGUSTO CESAR CASTAÑEDA VARGAS</v>
      </c>
      <c r="C130" s="258" t="s">
        <v>14</v>
      </c>
      <c r="D130" s="259">
        <v>44632</v>
      </c>
      <c r="E130" s="262">
        <v>25354</v>
      </c>
      <c r="F130" s="261">
        <f ca="1">IF(Tabla5[[#This Row],[NACIMIENTO]]&lt;&gt;0,YEARFRAC(Tabla5[[#This Row],[NACIMIENTO]],TODAY(),1)," ")</f>
        <v>53.080058814582</v>
      </c>
    </row>
    <row r="131" ht="15.9" spans="1:6">
      <c r="A131" s="256">
        <v>75097233</v>
      </c>
      <c r="B131" s="257" t="str">
        <f>IF(A131&lt;&gt;0,VLOOKUP(Tabla5[[#This Row],[N° CEDULA]],[1]!BASE_DATOS[#Data],2,0)," ")</f>
        <v>DANIEL RODRIGO DUQUE ZAPATA</v>
      </c>
      <c r="C131" s="258" t="s">
        <v>14</v>
      </c>
      <c r="D131" s="259">
        <v>44632</v>
      </c>
      <c r="E131" s="262">
        <v>29634</v>
      </c>
      <c r="F131" s="261">
        <f ca="1">IF(Tabla5[[#This Row],[NACIMIENTO]]&lt;&gt;0,YEARFRAC(Tabla5[[#This Row],[NACIMIENTO]],TODAY(),1)," ")</f>
        <v>41.3620599739244</v>
      </c>
    </row>
    <row r="132" ht="15.9" spans="1:6">
      <c r="A132" s="256">
        <v>16071705</v>
      </c>
      <c r="B132" s="257" t="str">
        <f>IF(A132&lt;&gt;0,VLOOKUP(Tabla5[[#This Row],[N° CEDULA]],[1]!BASE_DATOS[#Data],2,0)," ")</f>
        <v>GUSTAVO ADOLFO TRUJILLO GOMEZ</v>
      </c>
      <c r="C132" s="258" t="s">
        <v>14</v>
      </c>
      <c r="D132" s="259">
        <v>44653</v>
      </c>
      <c r="E132" s="262"/>
      <c r="F132" s="261" t="str">
        <f ca="1">IF(Tabla5[[#This Row],[NACIMIENTO]]&lt;&gt;0,YEARFRAC(Tabla5[[#This Row],[NACIMIENTO]],TODAY(),1)," ")</f>
        <v> </v>
      </c>
    </row>
    <row r="133" ht="15.9" spans="1:6">
      <c r="A133" s="256">
        <v>75094288</v>
      </c>
      <c r="B133" s="257" t="str">
        <f>IF(A133&lt;&gt;0,VLOOKUP(Tabla5[[#This Row],[N° CEDULA]],[1]!BASE_DATOS[#Data],2,0)," ")</f>
        <v>HECTOR EDISON PEREZ HENAO</v>
      </c>
      <c r="C133" s="258" t="s">
        <v>14</v>
      </c>
      <c r="D133" s="259">
        <v>44632</v>
      </c>
      <c r="E133" s="262">
        <v>29435</v>
      </c>
      <c r="F133" s="261">
        <f ca="1">IF(Tabla5[[#This Row],[NACIMIENTO]]&lt;&gt;0,YEARFRAC(Tabla5[[#This Row],[NACIMIENTO]],TODAY(),1)," ")</f>
        <v>41.9048771170253</v>
      </c>
    </row>
    <row r="134" ht="15.9" spans="1:6">
      <c r="A134" s="256">
        <v>1060646937</v>
      </c>
      <c r="B134" s="257" t="str">
        <f>IF(A134&lt;&gt;0,VLOOKUP(Tabla5[[#This Row],[N° CEDULA]],[1]!BASE_DATOS[#Data],2,0)," ")</f>
        <v>JUAN PABLO GIRALDO GIRALDO</v>
      </c>
      <c r="C134" s="258" t="s">
        <v>14</v>
      </c>
      <c r="D134" s="259">
        <v>44625</v>
      </c>
      <c r="E134" s="262"/>
      <c r="F134" s="261" t="str">
        <f ca="1">IF(Tabla5[[#This Row],[NACIMIENTO]]&lt;&gt;0,YEARFRAC(Tabla5[[#This Row],[NACIMIENTO]],TODAY(),1)," ")</f>
        <v> </v>
      </c>
    </row>
    <row r="135" ht="15.9" spans="1:6">
      <c r="A135" s="256">
        <v>9977666</v>
      </c>
      <c r="B135" s="257" t="str">
        <f>IF(A135&lt;&gt;0,VLOOKUP(Tabla5[[#This Row],[N° CEDULA]],[1]!BASE_DATOS[#Data],2,0)," ")</f>
        <v>JUAN PABLO JARAMILLO PENAGOS</v>
      </c>
      <c r="C135" s="258" t="s">
        <v>14</v>
      </c>
      <c r="D135" s="259">
        <v>44632</v>
      </c>
      <c r="E135" s="262">
        <v>31002</v>
      </c>
      <c r="F135" s="261">
        <f ca="1">IF(Tabla5[[#This Row],[NACIMIENTO]]&lt;&gt;0,YEARFRAC(Tabla5[[#This Row],[NACIMIENTO]],TODAY(),1)," ")</f>
        <v>37.6146718146718</v>
      </c>
    </row>
    <row r="136" ht="15.9" spans="1:6">
      <c r="A136" s="256">
        <v>75096695</v>
      </c>
      <c r="B136" s="257" t="str">
        <f>IF(A136&lt;&gt;0,VLOOKUP(Tabla5[[#This Row],[N° CEDULA]],[1]!BASE_DATOS[#Data],2,0)," ")</f>
        <v>JUAN PABLO OSPINA FRANCO</v>
      </c>
      <c r="C136" s="258" t="s">
        <v>14</v>
      </c>
      <c r="D136" s="259">
        <v>44625</v>
      </c>
      <c r="E136" s="262"/>
      <c r="F136" s="261" t="str">
        <f ca="1">IF(Tabla5[[#This Row],[NACIMIENTO]]&lt;&gt;0,YEARFRAC(Tabla5[[#This Row],[NACIMIENTO]],TODAY(),1)," ")</f>
        <v> </v>
      </c>
    </row>
    <row r="137" ht="15.9" spans="1:6">
      <c r="A137" s="256">
        <v>75095964</v>
      </c>
      <c r="B137" s="257" t="str">
        <f>IF(A137&lt;&gt;0,VLOOKUP(Tabla5[[#This Row],[N° CEDULA]],[1]!BASE_DATOS[#Data],2,0)," ")</f>
        <v>JULIAN BETANCURT ALAYAN</v>
      </c>
      <c r="C137" s="258" t="s">
        <v>14</v>
      </c>
      <c r="D137" s="259">
        <v>44632</v>
      </c>
      <c r="E137" s="262">
        <v>29547</v>
      </c>
      <c r="F137" s="261">
        <f ca="1">IF(Tabla5[[#This Row],[NACIMIENTO]]&lt;&gt;0,YEARFRAC(Tabla5[[#This Row],[NACIMIENTO]],TODAY(),1)," ")</f>
        <v>41.5982427097924</v>
      </c>
    </row>
    <row r="138" ht="15.9" spans="1:6">
      <c r="A138" s="256">
        <v>16072013</v>
      </c>
      <c r="B138" s="257" t="str">
        <f>IF(A138&lt;&gt;0,VLOOKUP(Tabla5[[#This Row],[N° CEDULA]],[1]!BASE_DATOS[#Data],2,0)," ")</f>
        <v>MIGUEL ANGEL RIVERA GALLEGO</v>
      </c>
      <c r="C138" s="258" t="s">
        <v>14</v>
      </c>
      <c r="D138" s="259">
        <v>44625</v>
      </c>
      <c r="E138" s="262"/>
      <c r="F138" s="261" t="str">
        <f ca="1">IF(Tabla5[[#This Row],[NACIMIENTO]]&lt;&gt;0,YEARFRAC(Tabla5[[#This Row],[NACIMIENTO]],TODAY(),1)," ")</f>
        <v> </v>
      </c>
    </row>
    <row r="139" ht="15.9" spans="1:6">
      <c r="A139" s="256">
        <v>75086431</v>
      </c>
      <c r="B139" s="257" t="str">
        <f>IF(A139&lt;&gt;0,VLOOKUP(Tabla5[[#This Row],[N° CEDULA]],[1]!BASE_DATOS[#Data],2,0)," ")</f>
        <v>NORBERT EDUIN FRANCO LOPEZ</v>
      </c>
      <c r="C139" s="258" t="s">
        <v>14</v>
      </c>
      <c r="D139" s="259">
        <v>44625</v>
      </c>
      <c r="E139" s="262"/>
      <c r="F139" s="261" t="str">
        <f ca="1">IF(Tabla5[[#This Row],[NACIMIENTO]]&lt;&gt;0,YEARFRAC(Tabla5[[#This Row],[NACIMIENTO]],TODAY(),1)," ")</f>
        <v> </v>
      </c>
    </row>
    <row r="140" ht="15.9" spans="1:6">
      <c r="A140" s="256">
        <v>16079290</v>
      </c>
      <c r="B140" s="257" t="str">
        <f>IF(A140&lt;&gt;0,VLOOKUP(Tabla5[[#This Row],[N° CEDULA]],[1]!BASE_DATOS[#Data],2,0)," ")</f>
        <v>ORLANDO ARANGO ALVARAN</v>
      </c>
      <c r="C140" s="258" t="s">
        <v>14</v>
      </c>
      <c r="D140" s="259">
        <v>44632</v>
      </c>
      <c r="E140" s="262"/>
      <c r="F140" s="261" t="str">
        <f ca="1">IF(Tabla5[[#This Row],[NACIMIENTO]]&lt;&gt;0,YEARFRAC(Tabla5[[#This Row],[NACIMIENTO]],TODAY(),1)," ")</f>
        <v> </v>
      </c>
    </row>
    <row r="141" ht="15.9" spans="1:6">
      <c r="A141" s="256">
        <v>16076618</v>
      </c>
      <c r="B141" s="257" t="str">
        <f>IF(A141&lt;&gt;0,VLOOKUP(Tabla5[[#This Row],[N° CEDULA]],[1]!BASE_DATOS[#Data],2,0)," ")</f>
        <v>RUBEN DARIO FLOREZ ALVARAN</v>
      </c>
      <c r="C141" s="258" t="s">
        <v>14</v>
      </c>
      <c r="D141" s="259">
        <v>44625</v>
      </c>
      <c r="E141" s="262"/>
      <c r="F141" s="261" t="str">
        <f ca="1">IF(Tabla5[[#This Row],[NACIMIENTO]]&lt;&gt;0,YEARFRAC(Tabla5[[#This Row],[NACIMIENTO]],TODAY(),1)," ")</f>
        <v> </v>
      </c>
    </row>
    <row r="142" ht="15.9" spans="1:6">
      <c r="A142" s="256">
        <v>75079576</v>
      </c>
      <c r="B142" s="257" t="str">
        <f>IF(A142&lt;&gt;0,VLOOKUP(Tabla5[[#This Row],[N° CEDULA]],[1]!BASE_DATOS[#Data],2,0)," ")</f>
        <v>VICTOR HUGO GIRALDO ARANGO</v>
      </c>
      <c r="C142" s="258" t="s">
        <v>14</v>
      </c>
      <c r="D142" s="259">
        <v>44625</v>
      </c>
      <c r="E142" s="262">
        <v>30320</v>
      </c>
      <c r="F142" s="261">
        <f ca="1">IF(Tabla5[[#This Row],[NACIMIENTO]]&lt;&gt;0,YEARFRAC(Tabla5[[#This Row],[NACIMIENTO]],TODAY(),1)," ")</f>
        <v>39.482546201232</v>
      </c>
    </row>
    <row r="143" ht="15.9" spans="1:6">
      <c r="A143" s="256">
        <v>16071792</v>
      </c>
      <c r="B143" s="257" t="str">
        <f>IF(A143&lt;&gt;0,VLOOKUP(Tabla5[[#This Row],[N° CEDULA]],[1]!BASE_DATOS[#Data],2,0)," ")</f>
        <v>MARIO ALBERTO VASCO LOPEZ</v>
      </c>
      <c r="C143" s="258" t="s">
        <v>7</v>
      </c>
      <c r="D143" s="259">
        <v>44674</v>
      </c>
      <c r="E143" s="262"/>
      <c r="F143" s="261" t="str">
        <f ca="1">IF(Tabla5[[#This Row],[NACIMIENTO]]&lt;&gt;0,YEARFRAC(Tabla5[[#This Row],[NACIMIENTO]],TODAY(),1)," ")</f>
        <v> </v>
      </c>
    </row>
    <row r="144" ht="15.9" spans="1:6">
      <c r="A144" s="256">
        <v>16070370</v>
      </c>
      <c r="B144" s="257" t="str">
        <f>IF(A144&lt;&gt;0,VLOOKUP(Tabla5[[#This Row],[N° CEDULA]],[1]!BASE_DATOS[#Data],2,0)," ")</f>
        <v>HECTOR FABIO QUICENO MEJIA</v>
      </c>
      <c r="C144" s="258" t="s">
        <v>11</v>
      </c>
      <c r="D144" s="259">
        <v>44674</v>
      </c>
      <c r="E144" s="262"/>
      <c r="F144" s="261" t="str">
        <f ca="1">IF(Tabla5[[#This Row],[NACIMIENTO]]&lt;&gt;0,YEARFRAC(Tabla5[[#This Row],[NACIMIENTO]],TODAY(),1)," ")</f>
        <v> </v>
      </c>
    </row>
    <row r="145" ht="15.9" spans="1:6">
      <c r="A145" s="256">
        <v>75089199</v>
      </c>
      <c r="B145" s="257" t="str">
        <f>IF(A145&lt;&gt;0,VLOOKUP(Tabla5[[#This Row],[N° CEDULA]],[1]!BASE_DATOS[#Data],2,0)," ")</f>
        <v>JUAN ALBERTO ZULUAGA AGUDELO</v>
      </c>
      <c r="C145" s="258" t="s">
        <v>11</v>
      </c>
      <c r="D145" s="259">
        <v>44674</v>
      </c>
      <c r="E145" s="262"/>
      <c r="F145" s="261" t="str">
        <f ca="1">IF(Tabla5[[#This Row],[NACIMIENTO]]&lt;&gt;0,YEARFRAC(Tabla5[[#This Row],[NACIMIENTO]],TODAY(),1)," ")</f>
        <v> </v>
      </c>
    </row>
    <row r="146" ht="15.9" spans="1:6">
      <c r="A146" s="256">
        <v>75103321</v>
      </c>
      <c r="B146" s="257" t="str">
        <f>IF(A146&lt;&gt;0,VLOOKUP(Tabla5[[#This Row],[N° CEDULA]],[1]!BASE_DATOS[#Data],2,0)," ")</f>
        <v>JONATHAN HERNANDEZ GARCIA</v>
      </c>
      <c r="C146" s="258" t="s">
        <v>10</v>
      </c>
      <c r="D146" s="259">
        <v>44674</v>
      </c>
      <c r="E146" s="262"/>
      <c r="F146" s="261" t="str">
        <f ca="1">IF(Tabla5[[#This Row],[NACIMIENTO]]&lt;&gt;0,YEARFRAC(Tabla5[[#This Row],[NACIMIENTO]],TODAY(),1)," ")</f>
        <v> </v>
      </c>
    </row>
    <row r="147" ht="15.9" spans="1:6">
      <c r="A147" s="256">
        <v>94455319</v>
      </c>
      <c r="B147" s="257" t="str">
        <f>IF(A147&lt;&gt;0,VLOOKUP(Tabla5[[#This Row],[N° CEDULA]],[1]!BASE_DATOS[#Data],2,0)," ")</f>
        <v>JAIME ALBERTO MORALES LOPEZ</v>
      </c>
      <c r="C147" s="258" t="s">
        <v>13</v>
      </c>
      <c r="D147" s="259">
        <v>44674</v>
      </c>
      <c r="E147" s="262"/>
      <c r="F147" s="261" t="str">
        <f ca="1">IF(Tabla5[[#This Row],[NACIMIENTO]]&lt;&gt;0,YEARFRAC(Tabla5[[#This Row],[NACIMIENTO]],TODAY(),1)," ")</f>
        <v> </v>
      </c>
    </row>
    <row r="148" ht="15.9" spans="1:6">
      <c r="A148" s="256">
        <v>75091414</v>
      </c>
      <c r="B148" s="257" t="str">
        <f>IF(A148&lt;&gt;0,VLOOKUP(Tabla5[[#This Row],[N° CEDULA]],[1]!BASE_DATOS[#Data],2,0)," ")</f>
        <v>HARRY VILLA GARCIA</v>
      </c>
      <c r="C148" s="258" t="s">
        <v>13</v>
      </c>
      <c r="D148" s="259">
        <v>44674</v>
      </c>
      <c r="E148" s="262"/>
      <c r="F148" s="261" t="str">
        <f ca="1">IF(Tabla5[[#This Row],[NACIMIENTO]]&lt;&gt;0,YEARFRAC(Tabla5[[#This Row],[NACIMIENTO]],TODAY(),1)," ")</f>
        <v> </v>
      </c>
    </row>
    <row r="149" ht="15.9" spans="1:6">
      <c r="A149" s="256">
        <v>75102773</v>
      </c>
      <c r="B149" s="257" t="str">
        <f>IF(A149&lt;&gt;0,VLOOKUP(Tabla5[[#This Row],[N° CEDULA]],[1]!BASE_DATOS[#Data],2,0)," ")</f>
        <v>LUIS EDUARDO SANCHEZ CARDONA</v>
      </c>
      <c r="C149" s="258" t="s">
        <v>10</v>
      </c>
      <c r="D149" s="259">
        <v>44674</v>
      </c>
      <c r="E149" s="262"/>
      <c r="F149" s="261" t="str">
        <f ca="1">IF(Tabla5[[#This Row],[NACIMIENTO]]&lt;&gt;0,YEARFRAC(Tabla5[[#This Row],[NACIMIENTO]],TODAY(),1)," ")</f>
        <v> </v>
      </c>
    </row>
    <row r="150" ht="15.9" spans="1:6">
      <c r="A150" s="256">
        <v>1053783563</v>
      </c>
      <c r="B150" s="257" t="str">
        <f>IF(A150&lt;&gt;0,VLOOKUP(Tabla5[[#This Row],[N° CEDULA]],[1]!BASE_DATOS[#Data],2,0)," ")</f>
        <v>JOHN JAIRO CASTILLO GALLO</v>
      </c>
      <c r="C150" s="258" t="s">
        <v>12</v>
      </c>
      <c r="D150" s="259">
        <v>44674</v>
      </c>
      <c r="E150" s="262"/>
      <c r="F150" s="261" t="str">
        <f ca="1">IF(Tabla5[[#This Row],[NACIMIENTO]]&lt;&gt;0,YEARFRAC(Tabla5[[#This Row],[NACIMIENTO]],TODAY(),1)," ")</f>
        <v> </v>
      </c>
    </row>
    <row r="151" ht="15.15" spans="1:6">
      <c r="A151" s="256">
        <v>75096211</v>
      </c>
      <c r="B151" s="257" t="str">
        <f>IF(A151&lt;&gt;0,VLOOKUP(Tabla5[[#This Row],[N° CEDULA]],[1]!BASE_DATOS[#Data],2,0)," ")</f>
        <v>JAVIER MAURICIO RENDON RENDON</v>
      </c>
      <c r="C151" s="258" t="s">
        <v>12</v>
      </c>
      <c r="D151" s="259">
        <v>44674</v>
      </c>
      <c r="E151" s="262"/>
      <c r="F151" s="261" t="str">
        <f ca="1">IF(Tabla5[[#This Row],[NACIMIENTO]]&lt;&gt;0,YEARFRAC(Tabla5[[#This Row],[NACIMIENTO]],TODAY(),1)," ")</f>
        <v> </v>
      </c>
    </row>
  </sheetData>
  <sheetProtection formatCells="0" sort="0" autoFilter="0"/>
  <conditionalFormatting sqref="F2:F151">
    <cfRule type="containsBlanks" dxfId="6" priority="3">
      <formula>LEN(TRIM(F2))=0</formula>
    </cfRule>
    <cfRule type="cellIs" dxfId="7" priority="4" operator="greaterThanOrEqual">
      <formula>35</formula>
    </cfRule>
  </conditionalFormatting>
  <dataValidations count="1">
    <dataValidation type="custom" allowBlank="1" showInputMessage="1" showErrorMessage="1" sqref="A2:A151">
      <formula1>COUNTIF($A$2:A2,A2)=1</formula1>
    </dataValidation>
  </dataValidations>
  <pageMargins left="0.7" right="0.7" top="0.75" bottom="0.75" header="0.3" footer="0.3"/>
  <pageSetup paperSize="1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"/>
  <dimension ref="A1:CE18"/>
  <sheetViews>
    <sheetView showGridLines="0" workbookViewId="0">
      <pane xSplit="3" ySplit="2" topLeftCell="D3" activePane="bottomRight" state="frozen"/>
      <selection/>
      <selection pane="topRight"/>
      <selection pane="bottomLeft"/>
      <selection pane="bottomRight" activeCell="A1" sqref="A1:A2"/>
    </sheetView>
  </sheetViews>
  <sheetFormatPr defaultColWidth="11" defaultRowHeight="14.4"/>
  <cols>
    <col min="1" max="1" width="20.712962962963" style="206" customWidth="1"/>
    <col min="2" max="2" width="3.28703703703704" style="206" customWidth="1"/>
    <col min="3" max="3" width="50.712962962963" style="206" customWidth="1"/>
    <col min="4" max="4" width="10.712962962963" style="206" customWidth="1"/>
    <col min="5" max="6" width="5.71296296296296" style="207" customWidth="1"/>
    <col min="7" max="7" width="5.71296296296296" style="207" hidden="1" customWidth="1"/>
    <col min="8" max="8" width="10.712962962963" style="207" customWidth="1"/>
    <col min="9" max="9" width="10.712962962963" style="208" customWidth="1"/>
    <col min="10" max="11" width="5.71296296296296" style="207" customWidth="1"/>
    <col min="12" max="12" width="5.71296296296296" style="207" hidden="1" customWidth="1"/>
    <col min="13" max="13" width="10.712962962963" style="207" customWidth="1"/>
    <col min="14" max="14" width="10.712962962963" style="208" customWidth="1"/>
    <col min="15" max="16" width="5.71296296296296" style="207" customWidth="1"/>
    <col min="17" max="17" width="5.71296296296296" style="207" hidden="1" customWidth="1"/>
    <col min="18" max="18" width="10.712962962963" style="207" customWidth="1"/>
    <col min="19" max="19" width="10.712962962963" style="208" customWidth="1"/>
    <col min="20" max="21" width="5.71296296296296" style="207" customWidth="1"/>
    <col min="22" max="22" width="5.71296296296296" style="207" hidden="1" customWidth="1"/>
    <col min="23" max="23" width="10.712962962963" style="207" customWidth="1"/>
    <col min="24" max="24" width="10.712962962963" style="208" customWidth="1"/>
    <col min="25" max="26" width="5.71296296296296" style="207" customWidth="1"/>
    <col min="27" max="27" width="5.71296296296296" style="207" hidden="1" customWidth="1"/>
    <col min="28" max="28" width="10.712962962963" style="207" customWidth="1"/>
    <col min="29" max="29" width="10.712962962963" style="208" customWidth="1"/>
    <col min="30" max="31" width="5.71296296296296" style="207" customWidth="1"/>
    <col min="32" max="32" width="5.71296296296296" style="207" hidden="1" customWidth="1"/>
    <col min="33" max="33" width="10.712962962963" style="207" customWidth="1"/>
    <col min="34" max="34" width="10.712962962963" style="208" customWidth="1"/>
    <col min="35" max="36" width="5.71296296296296" style="207" customWidth="1"/>
    <col min="37" max="37" width="5.71296296296296" style="207" hidden="1" customWidth="1"/>
    <col min="38" max="38" width="10.712962962963" style="207" customWidth="1"/>
    <col min="39" max="39" width="10.712962962963" style="208" customWidth="1"/>
    <col min="40" max="41" width="5.71296296296296" style="207" customWidth="1"/>
    <col min="42" max="42" width="5.71296296296296" style="207" hidden="1" customWidth="1"/>
    <col min="43" max="43" width="10.712962962963" style="207" customWidth="1"/>
    <col min="44" max="44" width="10.712962962963" style="208" customWidth="1"/>
    <col min="45" max="46" width="5.71296296296296" style="207" customWidth="1"/>
    <col min="47" max="47" width="5.71296296296296" style="207" hidden="1" customWidth="1"/>
    <col min="48" max="48" width="10.712962962963" style="207" customWidth="1"/>
    <col min="49" max="49" width="10.712962962963" style="208" customWidth="1"/>
    <col min="50" max="51" width="5.71296296296296" style="207" customWidth="1"/>
    <col min="52" max="52" width="5.71296296296296" style="207" hidden="1" customWidth="1"/>
    <col min="53" max="53" width="10.712962962963" style="207" customWidth="1"/>
    <col min="54" max="54" width="10.712962962963" style="208" customWidth="1"/>
    <col min="55" max="56" width="5.71296296296296" style="207" customWidth="1"/>
    <col min="57" max="57" width="5.71296296296296" style="207" hidden="1" customWidth="1"/>
    <col min="58" max="58" width="10.712962962963" style="207" customWidth="1"/>
    <col min="59" max="59" width="10.712962962963" style="208" customWidth="1"/>
    <col min="60" max="61" width="5.71296296296296" style="207" customWidth="1"/>
    <col min="62" max="62" width="5.71296296296296" style="207" hidden="1" customWidth="1"/>
    <col min="63" max="63" width="10.712962962963" style="207" customWidth="1"/>
    <col min="64" max="64" width="10.712962962963" style="208" customWidth="1"/>
    <col min="65" max="66" width="5.71296296296296" style="207" customWidth="1"/>
    <col min="67" max="67" width="5.71296296296296" style="207" hidden="1" customWidth="1"/>
    <col min="68" max="68" width="10.712962962963" style="207" customWidth="1"/>
    <col min="69" max="69" width="10.712962962963" style="209" customWidth="1"/>
    <col min="70" max="71" width="5.71296296296296" style="210" customWidth="1"/>
    <col min="72" max="72" width="5.71296296296296" style="210" hidden="1" customWidth="1"/>
    <col min="73" max="73" width="10.712962962963" style="210" customWidth="1"/>
    <col min="74" max="74" width="10.712962962963" style="209" customWidth="1"/>
    <col min="75" max="76" width="5.71296296296296" style="210" customWidth="1"/>
    <col min="77" max="77" width="5.71296296296296" style="210" hidden="1" customWidth="1"/>
    <col min="78" max="78" width="10.712962962963" style="210" customWidth="1"/>
    <col min="79" max="79" width="10.712962962963" style="209" customWidth="1"/>
    <col min="80" max="81" width="5.71296296296296" style="210" customWidth="1"/>
    <col min="82" max="82" width="5.71296296296296" style="210" hidden="1" customWidth="1"/>
    <col min="83" max="83" width="10.712962962963" style="210" customWidth="1"/>
    <col min="84" max="16384" width="11.4259259259259" style="206"/>
  </cols>
  <sheetData>
    <row r="1" spans="1:83">
      <c r="A1" s="211" t="s">
        <v>15</v>
      </c>
      <c r="B1" s="212" t="s">
        <v>16</v>
      </c>
      <c r="C1" s="213" t="s">
        <v>17</v>
      </c>
      <c r="D1" s="214" t="str">
        <f>C3</f>
        <v>ABC JURIDICAS S.A.S - EURO REPUESTOS EL BOMBI</v>
      </c>
      <c r="E1" s="214"/>
      <c r="F1" s="214"/>
      <c r="G1" s="214"/>
      <c r="H1" s="214"/>
      <c r="I1" s="214" t="str">
        <f>C4</f>
        <v>ALEMANA DE REPUESTOS - ESTRUCTURAS LIVIANAS</v>
      </c>
      <c r="J1" s="214"/>
      <c r="K1" s="214"/>
      <c r="L1" s="214"/>
      <c r="M1" s="214"/>
      <c r="N1" s="214" t="str">
        <f>C5</f>
        <v>DON JUAN BAR</v>
      </c>
      <c r="O1" s="214"/>
      <c r="P1" s="214"/>
      <c r="Q1" s="214"/>
      <c r="R1" s="214"/>
      <c r="S1" s="214" t="str">
        <f>C6</f>
        <v>FAMA MANTENIMIENTO</v>
      </c>
      <c r="T1" s="214"/>
      <c r="U1" s="214"/>
      <c r="V1" s="214"/>
      <c r="W1" s="214"/>
      <c r="X1" s="214" t="str">
        <f>C7</f>
        <v>SAO PAULO TIENDA DE ROPA</v>
      </c>
      <c r="Y1" s="214"/>
      <c r="Z1" s="214"/>
      <c r="AA1" s="214"/>
      <c r="AB1" s="214"/>
      <c r="AC1" s="214" t="str">
        <f>C8</f>
        <v>JEVANI F.C</v>
      </c>
      <c r="AD1" s="214"/>
      <c r="AE1" s="214"/>
      <c r="AF1" s="214"/>
      <c r="AG1" s="214"/>
      <c r="AH1" s="214" t="str">
        <f>C9</f>
        <v>M Y M - ESPARTANOS</v>
      </c>
      <c r="AI1" s="214"/>
      <c r="AJ1" s="214"/>
      <c r="AK1" s="214"/>
      <c r="AL1" s="214"/>
      <c r="AM1" s="214" t="str">
        <f>C10</f>
        <v>SOLDACERO INDUSTRIAL</v>
      </c>
      <c r="AN1" s="214"/>
      <c r="AO1" s="214"/>
      <c r="AP1" s="214"/>
      <c r="AQ1" s="214"/>
      <c r="AR1" s="214" t="str">
        <f>C11</f>
        <v>POLIFASE INGENIERIA</v>
      </c>
      <c r="AS1" s="214"/>
      <c r="AT1" s="214"/>
      <c r="AU1" s="214"/>
      <c r="AV1" s="214"/>
      <c r="AW1" s="214">
        <f>C12</f>
        <v>0</v>
      </c>
      <c r="AX1" s="214"/>
      <c r="AY1" s="214"/>
      <c r="AZ1" s="214"/>
      <c r="BA1" s="214"/>
      <c r="BB1" s="214">
        <f>C13</f>
        <v>0</v>
      </c>
      <c r="BC1" s="214"/>
      <c r="BD1" s="214"/>
      <c r="BE1" s="214"/>
      <c r="BF1" s="214"/>
      <c r="BG1" s="214">
        <f>C14</f>
        <v>0</v>
      </c>
      <c r="BH1" s="214"/>
      <c r="BI1" s="214"/>
      <c r="BJ1" s="214"/>
      <c r="BK1" s="214"/>
      <c r="BL1" s="214">
        <f>C15</f>
        <v>0</v>
      </c>
      <c r="BM1" s="214"/>
      <c r="BN1" s="214"/>
      <c r="BO1" s="214"/>
      <c r="BP1" s="214"/>
      <c r="BQ1" s="238">
        <f>C16</f>
        <v>0</v>
      </c>
      <c r="BR1" s="238"/>
      <c r="BS1" s="238"/>
      <c r="BT1" s="238"/>
      <c r="BU1" s="238"/>
      <c r="BV1" s="238">
        <f>C17</f>
        <v>0</v>
      </c>
      <c r="BW1" s="238"/>
      <c r="BX1" s="238"/>
      <c r="BY1" s="238"/>
      <c r="BZ1" s="238"/>
      <c r="CA1" s="238">
        <f>C18</f>
        <v>0</v>
      </c>
      <c r="CB1" s="238"/>
      <c r="CC1" s="238"/>
      <c r="CD1" s="238"/>
      <c r="CE1" s="238"/>
    </row>
    <row r="2" spans="1:83">
      <c r="A2" s="211"/>
      <c r="B2" s="212"/>
      <c r="C2" s="213"/>
      <c r="D2" s="215" t="s">
        <v>3</v>
      </c>
      <c r="E2" s="216" t="s">
        <v>18</v>
      </c>
      <c r="F2" s="217"/>
      <c r="G2" s="217"/>
      <c r="H2" s="218" t="s">
        <v>19</v>
      </c>
      <c r="I2" s="227" t="s">
        <v>3</v>
      </c>
      <c r="J2" s="216" t="s">
        <v>18</v>
      </c>
      <c r="K2" s="217"/>
      <c r="L2" s="217"/>
      <c r="M2" s="218" t="s">
        <v>19</v>
      </c>
      <c r="N2" s="227" t="s">
        <v>3</v>
      </c>
      <c r="O2" s="216" t="s">
        <v>18</v>
      </c>
      <c r="P2" s="217"/>
      <c r="Q2" s="217"/>
      <c r="R2" s="218" t="s">
        <v>19</v>
      </c>
      <c r="S2" s="227" t="s">
        <v>3</v>
      </c>
      <c r="T2" s="216" t="s">
        <v>18</v>
      </c>
      <c r="U2" s="217"/>
      <c r="V2" s="217"/>
      <c r="W2" s="218" t="s">
        <v>19</v>
      </c>
      <c r="X2" s="227" t="s">
        <v>3</v>
      </c>
      <c r="Y2" s="216" t="s">
        <v>18</v>
      </c>
      <c r="Z2" s="217"/>
      <c r="AA2" s="217"/>
      <c r="AB2" s="218" t="s">
        <v>19</v>
      </c>
      <c r="AC2" s="227" t="s">
        <v>3</v>
      </c>
      <c r="AD2" s="216" t="s">
        <v>18</v>
      </c>
      <c r="AE2" s="217"/>
      <c r="AF2" s="217"/>
      <c r="AG2" s="218" t="s">
        <v>19</v>
      </c>
      <c r="AH2" s="227" t="s">
        <v>3</v>
      </c>
      <c r="AI2" s="216" t="s">
        <v>18</v>
      </c>
      <c r="AJ2" s="217"/>
      <c r="AK2" s="217"/>
      <c r="AL2" s="218" t="s">
        <v>19</v>
      </c>
      <c r="AM2" s="227" t="s">
        <v>3</v>
      </c>
      <c r="AN2" s="216" t="s">
        <v>18</v>
      </c>
      <c r="AO2" s="217"/>
      <c r="AP2" s="217"/>
      <c r="AQ2" s="218" t="s">
        <v>19</v>
      </c>
      <c r="AR2" s="227" t="s">
        <v>3</v>
      </c>
      <c r="AS2" s="216" t="s">
        <v>18</v>
      </c>
      <c r="AT2" s="217"/>
      <c r="AU2" s="217"/>
      <c r="AV2" s="218" t="s">
        <v>19</v>
      </c>
      <c r="AW2" s="227" t="s">
        <v>3</v>
      </c>
      <c r="AX2" s="216" t="s">
        <v>18</v>
      </c>
      <c r="AY2" s="217"/>
      <c r="AZ2" s="217"/>
      <c r="BA2" s="218" t="s">
        <v>19</v>
      </c>
      <c r="BB2" s="227" t="s">
        <v>3</v>
      </c>
      <c r="BC2" s="216" t="s">
        <v>18</v>
      </c>
      <c r="BD2" s="217"/>
      <c r="BE2" s="217"/>
      <c r="BF2" s="218" t="s">
        <v>19</v>
      </c>
      <c r="BG2" s="227" t="s">
        <v>3</v>
      </c>
      <c r="BH2" s="216" t="s">
        <v>18</v>
      </c>
      <c r="BI2" s="217"/>
      <c r="BJ2" s="217"/>
      <c r="BK2" s="218" t="s">
        <v>19</v>
      </c>
      <c r="BL2" s="227" t="s">
        <v>3</v>
      </c>
      <c r="BM2" s="216" t="s">
        <v>18</v>
      </c>
      <c r="BN2" s="217"/>
      <c r="BO2" s="217"/>
      <c r="BP2" s="218" t="s">
        <v>19</v>
      </c>
      <c r="BQ2" s="239" t="s">
        <v>3</v>
      </c>
      <c r="BR2" s="240" t="s">
        <v>18</v>
      </c>
      <c r="BS2" s="241"/>
      <c r="BT2" s="241"/>
      <c r="BU2" s="247" t="s">
        <v>19</v>
      </c>
      <c r="BV2" s="239" t="s">
        <v>3</v>
      </c>
      <c r="BW2" s="240" t="s">
        <v>18</v>
      </c>
      <c r="BX2" s="241"/>
      <c r="BY2" s="241"/>
      <c r="BZ2" s="247" t="s">
        <v>19</v>
      </c>
      <c r="CA2" s="239" t="s">
        <v>3</v>
      </c>
      <c r="CB2" s="240" t="s">
        <v>18</v>
      </c>
      <c r="CC2" s="241"/>
      <c r="CD2" s="241"/>
      <c r="CE2" s="247" t="s">
        <v>19</v>
      </c>
    </row>
    <row r="3" spans="1:83">
      <c r="A3" s="219"/>
      <c r="B3" s="220">
        <v>1</v>
      </c>
      <c r="C3" s="212" t="s">
        <v>20</v>
      </c>
      <c r="D3" s="221" t="s">
        <v>21</v>
      </c>
      <c r="E3" s="221"/>
      <c r="F3" s="221"/>
      <c r="G3" s="221"/>
      <c r="H3" s="221"/>
      <c r="I3" s="228">
        <f>IF(D4&lt;&gt;0,D4," ")</f>
        <v>44653</v>
      </c>
      <c r="J3" s="229">
        <f>IF(D4&lt;&gt;0,F4," ")</f>
        <v>1</v>
      </c>
      <c r="K3" s="229">
        <f>IF(D4&lt;&gt;0,E4," ")</f>
        <v>1</v>
      </c>
      <c r="L3" s="230" t="str">
        <f>IF(D4&lt;&gt;0,IF(J3&lt;K3,"3",IF(J3&gt;K3,"0","1")),"")</f>
        <v>1</v>
      </c>
      <c r="M3" s="229">
        <f>IF(D4&lt;&gt;0,H4," ")</f>
        <v>2</v>
      </c>
      <c r="N3" s="228">
        <f>IF(D5&lt;&gt;0,D5," ")</f>
        <v>44646</v>
      </c>
      <c r="O3" s="229">
        <f>IF(D5&lt;&gt;0,F5," ")</f>
        <v>2</v>
      </c>
      <c r="P3" s="229">
        <f>IF(D5&lt;&gt;0,E5," ")</f>
        <v>2</v>
      </c>
      <c r="Q3" s="230" t="str">
        <f>IF(D5&lt;&gt;0,IF(O3&lt;P3,"3",IF(O3&gt;P3,"0","1")),"")</f>
        <v>1</v>
      </c>
      <c r="R3" s="229">
        <f>IF(D5&lt;&gt;0,H5," ")</f>
        <v>1</v>
      </c>
      <c r="S3" s="228">
        <f>IF(D6&lt;&gt;0,D6," ")</f>
        <v>44618</v>
      </c>
      <c r="T3" s="229">
        <f>IF(D6&lt;&gt;0,F6," ")</f>
        <v>1</v>
      </c>
      <c r="U3" s="229">
        <f>IF(D6&lt;&gt;0,E6," ")</f>
        <v>5</v>
      </c>
      <c r="V3" s="230" t="str">
        <f>IF(D6&lt;&gt;0,IF(T3&lt;U3,"3",IF(T3&gt;U3,"0","1")),"")</f>
        <v>3</v>
      </c>
      <c r="W3" s="234">
        <f>IF(D6&lt;&gt;0,H6," ")</f>
        <v>1</v>
      </c>
      <c r="X3" s="235" t="str">
        <f>IF(D7&lt;&gt;0,D7," ")</f>
        <v> </v>
      </c>
      <c r="Y3" s="234" t="str">
        <f>IF(D7&lt;&gt;0,F7," ")</f>
        <v> </v>
      </c>
      <c r="Z3" s="229" t="str">
        <f>IF(D7&lt;&gt;0,E7," ")</f>
        <v> </v>
      </c>
      <c r="AA3" s="230" t="str">
        <f>IF(D7&lt;&gt;0,IF(Y3&lt;Z3,"3",IF(Y3&gt;Z3,"0","1")),"")</f>
        <v/>
      </c>
      <c r="AB3" s="234" t="str">
        <f>IF(D7&lt;&gt;0,H7," ")</f>
        <v> </v>
      </c>
      <c r="AC3" s="231">
        <f>IF(D8&lt;&gt;0,D8," ")</f>
        <v>44604</v>
      </c>
      <c r="AD3" s="232">
        <f>IF(D8&lt;&gt;0,F8," ")</f>
        <v>0</v>
      </c>
      <c r="AE3" s="237">
        <f>IF(D8&lt;&gt;0,E8," ")</f>
        <v>3</v>
      </c>
      <c r="AF3" s="236" t="str">
        <f>IF(D8&lt;&gt;0,IF(AD3&lt;AE3,"3",IF(AD3&gt;AE3,"0","1")),"")</f>
        <v>3</v>
      </c>
      <c r="AG3" s="232">
        <f>IF(D8&lt;&gt;0,H8," ")</f>
        <v>1</v>
      </c>
      <c r="AH3" s="235">
        <f>IF(D9&lt;&gt;0,D9," ")</f>
        <v>44639</v>
      </c>
      <c r="AI3" s="234">
        <f>IF(D9&lt;&gt;0,F9," ")</f>
        <v>2</v>
      </c>
      <c r="AJ3" s="229">
        <f>IF(D9&lt;&gt;0,E9," ")</f>
        <v>4</v>
      </c>
      <c r="AK3" s="230" t="str">
        <f>IF(D9&lt;&gt;0,IF(AI3&lt;AJ3,"3",IF(AI3&gt;AJ3,"0","1")),"")</f>
        <v>3</v>
      </c>
      <c r="AL3" s="234">
        <f>IF(D9&lt;&gt;0,H9," ")</f>
        <v>1</v>
      </c>
      <c r="AM3" s="231">
        <f>IF(D10&lt;&gt;0,D10," ")</f>
        <v>44625</v>
      </c>
      <c r="AN3" s="232">
        <f>IF(D10&lt;&gt;0,F10," ")</f>
        <v>5</v>
      </c>
      <c r="AO3" s="233">
        <f>IF(D10&lt;&gt;0,E10," ")</f>
        <v>2</v>
      </c>
      <c r="AP3" s="236" t="str">
        <f>IF(D10&lt;&gt;0,IF(AN3&lt;AO3,"3",IF(AN3&gt;AO3,"0","1")),"")</f>
        <v>0</v>
      </c>
      <c r="AQ3" s="232">
        <f>IF(D10&lt;&gt;0,H10," ")</f>
        <v>1</v>
      </c>
      <c r="AR3" s="231" t="str">
        <f>IF(D11&lt;&gt;0,D11," ")</f>
        <v> </v>
      </c>
      <c r="AS3" s="232" t="str">
        <f>IF(D11&lt;&gt;0,F11," ")</f>
        <v> </v>
      </c>
      <c r="AT3" s="233" t="str">
        <f>IF(D11&lt;&gt;0,E11," ")</f>
        <v> </v>
      </c>
      <c r="AU3" s="236" t="str">
        <f>IF(D11&lt;&gt;0,IF(AS3&lt;AT3,"3",IF(AS3&gt;AT3,"0","1")),"")</f>
        <v/>
      </c>
      <c r="AV3" s="232" t="str">
        <f>IF(D11&lt;&gt;0,H11," ")</f>
        <v> </v>
      </c>
      <c r="AW3" s="231" t="str">
        <f>IF(D12&lt;&gt;0,D12," ")</f>
        <v> </v>
      </c>
      <c r="AX3" s="232" t="str">
        <f>IF(D12&lt;&gt;0,F12," ")</f>
        <v> </v>
      </c>
      <c r="AY3" s="233" t="str">
        <f>IF(D12&lt;&gt;0,E12," ")</f>
        <v> </v>
      </c>
      <c r="AZ3" s="236" t="str">
        <f>IF(D12&lt;&gt;0,IF(AX3&lt;AY3,"3",IF(AX3&gt;AY3,"0","1")),"")</f>
        <v/>
      </c>
      <c r="BA3" s="232" t="str">
        <f>IF(D12&lt;&gt;0,H12," ")</f>
        <v> </v>
      </c>
      <c r="BB3" s="231" t="str">
        <f>IF(D13&lt;&gt;0,D13," ")</f>
        <v> </v>
      </c>
      <c r="BC3" s="232" t="str">
        <f>IF(D13&lt;&gt;0,F13," ")</f>
        <v> </v>
      </c>
      <c r="BD3" s="233" t="str">
        <f>IF(D13&lt;&gt;0,E13," ")</f>
        <v> </v>
      </c>
      <c r="BE3" s="236" t="str">
        <f>IF(D13&lt;&gt;0,IF(BC3&lt;BD3,"3",IF(BC3&gt;BD3,"0","1")),"")</f>
        <v/>
      </c>
      <c r="BF3" s="232" t="str">
        <f>IF(D13&lt;&gt;0,H13," ")</f>
        <v> </v>
      </c>
      <c r="BG3" s="231" t="str">
        <f>IF(D14&lt;&gt;0,D14," ")</f>
        <v> </v>
      </c>
      <c r="BH3" s="232" t="str">
        <f>IF(D14&lt;&gt;0,F14," ")</f>
        <v> </v>
      </c>
      <c r="BI3" s="233" t="str">
        <f>IF(D14&lt;&gt;0,E14," ")</f>
        <v> </v>
      </c>
      <c r="BJ3" s="236" t="str">
        <f>IF(D14&lt;&gt;0,IF(BH3&lt;BI3,"3",IF(BH3&gt;BI3,"0","1")),"")</f>
        <v/>
      </c>
      <c r="BK3" s="232" t="str">
        <f>IF(D14&lt;&gt;0,H14," ")</f>
        <v> </v>
      </c>
      <c r="BL3" s="231" t="str">
        <f>IF(D15&lt;&gt;0,D15," ")</f>
        <v> </v>
      </c>
      <c r="BM3" s="232" t="str">
        <f>IF(D15&lt;&gt;0,F15," ")</f>
        <v> </v>
      </c>
      <c r="BN3" s="233" t="str">
        <f>IF(D15&lt;&gt;0,E15," ")</f>
        <v> </v>
      </c>
      <c r="BO3" s="236" t="str">
        <f>IF(D15&lt;&gt;0,IF(BM3&lt;BN3,"3",IF(BM3&gt;BN3,"0","1")),"")</f>
        <v/>
      </c>
      <c r="BP3" s="232" t="str">
        <f>IF(D15&lt;&gt;0,H15," ")</f>
        <v> </v>
      </c>
      <c r="BQ3" s="231" t="str">
        <f>IF(D16&lt;&gt;0,D16," ")</f>
        <v> </v>
      </c>
      <c r="BR3" s="242" t="str">
        <f>IF(D16&lt;&gt;0,F16," ")</f>
        <v> </v>
      </c>
      <c r="BS3" s="242" t="str">
        <f>IF(D16&lt;&gt;0,E16," ")</f>
        <v> </v>
      </c>
      <c r="BT3" s="236" t="str">
        <f>IF(D16&lt;&gt;0,IF(BR3&lt;BS3,"3",IF(BR3&gt;BS3,"0","1")),"")</f>
        <v/>
      </c>
      <c r="BU3" s="242" t="str">
        <f>IF(D16&lt;&gt;0,H16," ")</f>
        <v> </v>
      </c>
      <c r="BV3" s="231" t="str">
        <f>IF(D17&lt;&gt;0,D17," ")</f>
        <v> </v>
      </c>
      <c r="BW3" s="242" t="str">
        <f>IF(D17&lt;&gt;0,F17," ")</f>
        <v> </v>
      </c>
      <c r="BX3" s="242" t="str">
        <f>IF(D17&lt;&gt;0,E17," ")</f>
        <v> </v>
      </c>
      <c r="BY3" s="236" t="str">
        <f>IF(D17&lt;&gt;0,IF(BW3&lt;BX3,"3",IF(BW3&gt;BX3,"0","1")),"")</f>
        <v/>
      </c>
      <c r="BZ3" s="242" t="str">
        <f>IF(D17&lt;&gt;0,H17," ")</f>
        <v> </v>
      </c>
      <c r="CA3" s="231" t="str">
        <f>IF(D18&lt;&gt;0,D18," ")</f>
        <v> </v>
      </c>
      <c r="CB3" s="242" t="str">
        <f>IF(D18&lt;&gt;0,F18," ")</f>
        <v> </v>
      </c>
      <c r="CC3" s="242" t="str">
        <f>IF(D18&lt;&gt;0,E18," ")</f>
        <v> </v>
      </c>
      <c r="CD3" s="236" t="str">
        <f>IF(D18&lt;&gt;0,IF(CB3&lt;CC3,"3",IF(CB3&gt;CC3,"0","1")),"")</f>
        <v/>
      </c>
      <c r="CE3" s="242" t="str">
        <f>IF(D18&lt;&gt;0,H18," ")</f>
        <v> </v>
      </c>
    </row>
    <row r="4" spans="1:83">
      <c r="A4" s="219"/>
      <c r="B4" s="220">
        <v>2</v>
      </c>
      <c r="C4" s="212" t="s">
        <v>7</v>
      </c>
      <c r="D4" s="222">
        <v>44653</v>
      </c>
      <c r="E4" s="223">
        <v>1</v>
      </c>
      <c r="F4" s="223">
        <v>1</v>
      </c>
      <c r="G4" s="224" t="str">
        <f>IF(D4&lt;&gt;0,IF(E4&lt;F4,"3",IF(E4&gt;F4,"0","1")),"")</f>
        <v>1</v>
      </c>
      <c r="H4" s="224">
        <v>2</v>
      </c>
      <c r="I4" s="221" t="s">
        <v>21</v>
      </c>
      <c r="J4" s="221"/>
      <c r="K4" s="221"/>
      <c r="L4" s="221"/>
      <c r="M4" s="221"/>
      <c r="N4" s="231" t="str">
        <f>IF(I5&lt;&gt;0,I5," ")</f>
        <v> </v>
      </c>
      <c r="O4" s="232" t="str">
        <f>IF(I5&lt;&gt;0,K5," ")</f>
        <v> </v>
      </c>
      <c r="P4" s="233" t="str">
        <f>IF(I5&lt;&gt;0,J5," ")</f>
        <v> </v>
      </c>
      <c r="Q4" s="236" t="str">
        <f>IF(I5&lt;&gt;0,IF(O4&lt;P4,"3",IF(O4&gt;P4,"0","1")),"")</f>
        <v/>
      </c>
      <c r="R4" s="232" t="str">
        <f>IF(I5&lt;&gt;0,M5," ")</f>
        <v> </v>
      </c>
      <c r="S4" s="235" t="str">
        <f>IF(I6&lt;&gt;0,I6," ")</f>
        <v> </v>
      </c>
      <c r="T4" s="234" t="str">
        <f>IF(I6&lt;&gt;0,K6," ")</f>
        <v> </v>
      </c>
      <c r="U4" s="229" t="str">
        <f>IF(I6&lt;&gt;0,J6," ")</f>
        <v> </v>
      </c>
      <c r="V4" s="230" t="str">
        <f>IF(I6&lt;&gt;0,IF(T4&lt;U4,"3",IF(T4&gt;U4,"0","1")),"")</f>
        <v/>
      </c>
      <c r="W4" s="234" t="str">
        <f>IF(I6&lt;&gt;0,M6," ")</f>
        <v> </v>
      </c>
      <c r="X4" s="235">
        <f>IF(I7&lt;&gt;0,I7," ")</f>
        <v>44639</v>
      </c>
      <c r="Y4" s="234">
        <f>IF(I7&lt;&gt;0,K7," ")</f>
        <v>2</v>
      </c>
      <c r="Z4" s="229">
        <f>IF(I7&lt;&gt;0,J7," ")</f>
        <v>0</v>
      </c>
      <c r="AA4" s="230" t="str">
        <f>IF(I7&lt;&gt;0,IF(Y4&lt;Z4,"3",IF(Y4&gt;Z4,"0","1")),"")</f>
        <v>0</v>
      </c>
      <c r="AB4" s="234">
        <f>IF(I7&lt;&gt;0,M7," ")</f>
        <v>1</v>
      </c>
      <c r="AC4" s="235">
        <f>IF(I8&lt;&gt;0,I8," ")</f>
        <v>44618</v>
      </c>
      <c r="AD4" s="234">
        <f>IF(I8&lt;&gt;0,K8," ")</f>
        <v>3</v>
      </c>
      <c r="AE4" s="234">
        <f>IF(I8&lt;&gt;0,J8," ")</f>
        <v>2</v>
      </c>
      <c r="AF4" s="230" t="str">
        <f>IF(I8&lt;&gt;0,IF(AD4&lt;AE4,"3",IF(AD4&gt;AE4,"0","1")),"")</f>
        <v>0</v>
      </c>
      <c r="AG4" s="234">
        <f>IF(I8&lt;&gt;0,M8," ")</f>
        <v>1</v>
      </c>
      <c r="AH4" s="231">
        <f>IF(I9&lt;&gt;0,I9," ")</f>
        <v>44604</v>
      </c>
      <c r="AI4" s="232">
        <f>IF(I9&lt;&gt;0,K9," ")</f>
        <v>1</v>
      </c>
      <c r="AJ4" s="233">
        <f>IF(I9&lt;&gt;0,J9," ")</f>
        <v>4</v>
      </c>
      <c r="AK4" s="236" t="str">
        <f>IF(I9&lt;&gt;0,IF(AI4&lt;AJ4,"3",IF(AI4&gt;AJ4,"0","1")),"")</f>
        <v>3</v>
      </c>
      <c r="AL4" s="232">
        <f>IF(I9&lt;&gt;0,M9," ")</f>
        <v>1</v>
      </c>
      <c r="AM4" s="235">
        <f>IF(I10&lt;&gt;0,I10," ")</f>
        <v>44674</v>
      </c>
      <c r="AN4" s="234">
        <f>IF(I10&lt;&gt;0,K10," ")</f>
        <v>2</v>
      </c>
      <c r="AO4" s="234">
        <f>IF(I10&lt;&gt;0,J10," ")</f>
        <v>1</v>
      </c>
      <c r="AP4" s="230" t="str">
        <f>IF(I10&lt;&gt;0,IF(AN4&lt;AO4,"3",IF(AN4&gt;AO4,"0","1")),"")</f>
        <v>0</v>
      </c>
      <c r="AQ4" s="234">
        <f>IF(I10&lt;&gt;0,M10," ")</f>
        <v>1</v>
      </c>
      <c r="AR4" s="235">
        <f>IF(I11&lt;&gt;0,I11," ")</f>
        <v>44625</v>
      </c>
      <c r="AS4" s="234">
        <f>IF(I11&lt;&gt;0,K11," ")</f>
        <v>8</v>
      </c>
      <c r="AT4" s="234">
        <f>IF(I11&lt;&gt;0,J11," ")</f>
        <v>2</v>
      </c>
      <c r="AU4" s="230" t="str">
        <f>IF(I11&lt;&gt;0,IF(AS4&lt;AT4,"3",IF(AS4&gt;AT4,"0","1")),"")</f>
        <v>0</v>
      </c>
      <c r="AV4" s="234">
        <f>IF(I11&lt;&gt;0,M11," ")</f>
        <v>4</v>
      </c>
      <c r="AW4" s="231" t="str">
        <f>IF(I12&lt;&gt;0,I12," ")</f>
        <v> </v>
      </c>
      <c r="AX4" s="232" t="str">
        <f>IF(I12&lt;&gt;0,K12," ")</f>
        <v> </v>
      </c>
      <c r="AY4" s="232" t="str">
        <f>IF(I12&lt;&gt;0,J12," ")</f>
        <v> </v>
      </c>
      <c r="AZ4" s="236" t="str">
        <f>IF(I12&lt;&gt;0,IF(AX4&lt;AY4,"3",IF(AX4&gt;AY4,"0","1")),"")</f>
        <v/>
      </c>
      <c r="BA4" s="232" t="str">
        <f>IF(I12&lt;&gt;0,M12," ")</f>
        <v> </v>
      </c>
      <c r="BB4" s="231" t="str">
        <f>IF(I13&lt;&gt;0,I13," ")</f>
        <v> </v>
      </c>
      <c r="BC4" s="232" t="str">
        <f>IF(I13&lt;&gt;0,K13," ")</f>
        <v> </v>
      </c>
      <c r="BD4" s="233" t="str">
        <f>IF(I13&lt;&gt;0,J13," ")</f>
        <v> </v>
      </c>
      <c r="BE4" s="236" t="str">
        <f>IF(I13&lt;&gt;0,IF(BC4&lt;BD4,"3",IF(BC4&gt;BD4,"0","1")),"")</f>
        <v/>
      </c>
      <c r="BF4" s="232" t="str">
        <f>IF(I13&lt;&gt;0,M13," ")</f>
        <v> </v>
      </c>
      <c r="BG4" s="231" t="str">
        <f>IF(I14&lt;&gt;0,I14," ")</f>
        <v> </v>
      </c>
      <c r="BH4" s="232" t="str">
        <f>IF(I14&lt;&gt;0,K14," ")</f>
        <v> </v>
      </c>
      <c r="BI4" s="233" t="str">
        <f>IF(I14&lt;&gt;0,J14," ")</f>
        <v> </v>
      </c>
      <c r="BJ4" s="236" t="str">
        <f>IF(I14&lt;&gt;0,IF(BH4&lt;BI4,"3",IF(BH4&gt;BI4,"0","1")),"")</f>
        <v/>
      </c>
      <c r="BK4" s="232" t="str">
        <f>IF(I14&lt;&gt;0,M14," ")</f>
        <v> </v>
      </c>
      <c r="BL4" s="231" t="str">
        <f>IF(I15&lt;&gt;0,I15," ")</f>
        <v> </v>
      </c>
      <c r="BM4" s="232" t="str">
        <f>IF(I15&lt;&gt;0,K15," ")</f>
        <v> </v>
      </c>
      <c r="BN4" s="233" t="str">
        <f>IF(I15&lt;&gt;0,J15," ")</f>
        <v> </v>
      </c>
      <c r="BO4" s="236" t="str">
        <f>IF(I15&lt;&gt;0,IF(BM4&lt;BN4,"3",IF(BM4&gt;BN4,"0","1")),"")</f>
        <v/>
      </c>
      <c r="BP4" s="232" t="str">
        <f>IF(I15&lt;&gt;0,M15," ")</f>
        <v> </v>
      </c>
      <c r="BQ4" s="243" t="str">
        <f>IF(I16&lt;&gt;0,I16," ")</f>
        <v> </v>
      </c>
      <c r="BR4" s="242" t="str">
        <f>IF(I16&lt;&gt;0,K16," ")</f>
        <v> </v>
      </c>
      <c r="BS4" s="242" t="str">
        <f>IF(I16&lt;&gt;0,J16," ")</f>
        <v> </v>
      </c>
      <c r="BT4" s="236" t="str">
        <f>IF(I16&lt;&gt;0,IF(BR4&lt;BS4,"3",IF(BR4&gt;BS4,"0","1")),"")</f>
        <v/>
      </c>
      <c r="BU4" s="242" t="str">
        <f>IF(I16&lt;&gt;0,M16," ")</f>
        <v> </v>
      </c>
      <c r="BV4" s="243" t="str">
        <f>IF(I17&lt;&gt;0,I17," ")</f>
        <v> </v>
      </c>
      <c r="BW4" s="242" t="str">
        <f>IF(I17&lt;&gt;0,K17," ")</f>
        <v> </v>
      </c>
      <c r="BX4" s="242" t="str">
        <f>IF(I17&lt;&gt;0,J17," ")</f>
        <v> </v>
      </c>
      <c r="BY4" s="236" t="str">
        <f>IF(I17&lt;&gt;0,IF(BW4&lt;BX4,"3",IF(BW4&gt;BX4,"0","1")),"")</f>
        <v/>
      </c>
      <c r="BZ4" s="242" t="str">
        <f>IF(I17&lt;&gt;0,M17," ")</f>
        <v> </v>
      </c>
      <c r="CA4" s="243" t="str">
        <f>IF(I18&lt;&gt;0,I18," ")</f>
        <v> </v>
      </c>
      <c r="CB4" s="242" t="str">
        <f>IF(I18&lt;&gt;0,K18," ")</f>
        <v> </v>
      </c>
      <c r="CC4" s="242" t="str">
        <f>IF(I18&lt;&gt;0,J18," ")</f>
        <v> </v>
      </c>
      <c r="CD4" s="236" t="str">
        <f>IF(I18&lt;&gt;0,IF(CB4&lt;CC4,"3",IF(CB4&gt;CC4,"0","1"))," ")</f>
        <v> </v>
      </c>
      <c r="CE4" s="242" t="str">
        <f>IF(I18&lt;&gt;0,M18," ")</f>
        <v> </v>
      </c>
    </row>
    <row r="5" spans="1:83">
      <c r="A5" s="219" t="s">
        <v>22</v>
      </c>
      <c r="B5" s="220">
        <v>3</v>
      </c>
      <c r="C5" s="212" t="s">
        <v>8</v>
      </c>
      <c r="D5" s="222">
        <v>44646</v>
      </c>
      <c r="E5" s="223">
        <v>2</v>
      </c>
      <c r="F5" s="223">
        <v>2</v>
      </c>
      <c r="G5" s="224" t="str">
        <f t="shared" ref="G5:G18" si="0">IF(D5&lt;&gt;0,IF(E5&lt;F5,"3",IF(E5&gt;F5,"0","1")),"")</f>
        <v>1</v>
      </c>
      <c r="H5" s="224">
        <v>1</v>
      </c>
      <c r="I5" s="124"/>
      <c r="J5" s="125"/>
      <c r="K5" s="125"/>
      <c r="L5" s="126" t="str">
        <f>IF(I5&lt;&gt;0,IF(J5&lt;K5,"3",IF(J5&gt;K5,"0","1")),"")</f>
        <v/>
      </c>
      <c r="M5" s="126"/>
      <c r="N5" s="221" t="s">
        <v>21</v>
      </c>
      <c r="O5" s="221"/>
      <c r="P5" s="221"/>
      <c r="Q5" s="221"/>
      <c r="R5" s="221"/>
      <c r="S5" s="235">
        <f>IF(N6&lt;&gt;0,N6," ")</f>
        <v>44611</v>
      </c>
      <c r="T5" s="234">
        <f>IF(N6&lt;&gt;0,P6," ")</f>
        <v>4</v>
      </c>
      <c r="U5" s="229">
        <f>IF(N6&lt;&gt;0,O6," ")</f>
        <v>8</v>
      </c>
      <c r="V5" s="230" t="str">
        <f>IF(N6&lt;&gt;0,IF(T5&lt;U5,"3",IF(T5&gt;U5,"0","1")),"")</f>
        <v>3</v>
      </c>
      <c r="W5" s="234">
        <f>IF(N6&lt;&gt;0,R6," ")</f>
        <v>1</v>
      </c>
      <c r="X5" s="235">
        <f>IF(N7&lt;&gt;0,N7," ")</f>
        <v>44618</v>
      </c>
      <c r="Y5" s="234">
        <f>IF(N7&lt;&gt;0,P7," ")</f>
        <v>5</v>
      </c>
      <c r="Z5" s="229">
        <f>IF(N7&lt;&gt;0,O7," ")</f>
        <v>3</v>
      </c>
      <c r="AA5" s="230" t="str">
        <f>IF(N7&lt;&gt;0,IF(Y5&lt;Z5,"3",IF(Y5&gt;Z5,"0","1")),"")</f>
        <v>0</v>
      </c>
      <c r="AB5" s="234">
        <f>IF(N7&lt;&gt;0,R7," ")</f>
        <v>1</v>
      </c>
      <c r="AC5" s="235">
        <f>IF(N8&lt;&gt;0,N8," ")</f>
        <v>44639</v>
      </c>
      <c r="AD5" s="234">
        <f>IF(N8&lt;&gt;0,P8," ")</f>
        <v>2</v>
      </c>
      <c r="AE5" s="234">
        <f>IF(N8&lt;&gt;0,O8," ")</f>
        <v>3</v>
      </c>
      <c r="AF5" s="230" t="str">
        <f>IF(N8&lt;&gt;0,IF(AD5&lt;AE5,"3",IF(AD5&gt;AE5,"0","1")),"")</f>
        <v>3</v>
      </c>
      <c r="AG5" s="234">
        <f>IF(N8&lt;&gt;0,R8," ")</f>
        <v>1</v>
      </c>
      <c r="AH5" s="231">
        <f>IF(N9&lt;&gt;0,N9," ")</f>
        <v>44660</v>
      </c>
      <c r="AI5" s="232">
        <f>IF(N9&lt;&gt;0,P9," ")</f>
        <v>6</v>
      </c>
      <c r="AJ5" s="233">
        <f>IF(N9&lt;&gt;0,O9," ")</f>
        <v>2</v>
      </c>
      <c r="AK5" s="236" t="str">
        <f>IF(N9&lt;&gt;0,IF(AI5&lt;AJ5,"3",IF(AI5&gt;AJ5,"0","1")),"")</f>
        <v>0</v>
      </c>
      <c r="AL5" s="232">
        <f>IF(N9&lt;&gt;0,R9," ")</f>
        <v>1</v>
      </c>
      <c r="AM5" s="231">
        <f>IF(N10&lt;&gt;0,N10," ")</f>
        <v>44632</v>
      </c>
      <c r="AN5" s="232">
        <f>IF(N10&lt;&gt;0,P10," ")</f>
        <v>7</v>
      </c>
      <c r="AO5" s="233">
        <f>IF(N10&lt;&gt;0,O10," ")</f>
        <v>0</v>
      </c>
      <c r="AP5" s="236" t="str">
        <f>IF(N10&lt;&gt;0,IF(AN5&lt;AO5,"3",IF(AN5&gt;AO5,"0","1")),"")</f>
        <v>0</v>
      </c>
      <c r="AQ5" s="232">
        <f>IF(N10&lt;&gt;0,R10," ")</f>
        <v>1</v>
      </c>
      <c r="AR5" s="235">
        <f>IF(N11&lt;&gt;0,N11," ")</f>
        <v>44674</v>
      </c>
      <c r="AS5" s="234">
        <f>IF(N11&lt;&gt;0,P11," ")</f>
        <v>6</v>
      </c>
      <c r="AT5" s="229">
        <f>IF(N11&lt;&gt;0,O11," ")</f>
        <v>0</v>
      </c>
      <c r="AU5" s="230" t="str">
        <f>IF(N11&lt;&gt;0,IF(AS5&lt;AT5,"3",IF(AS5&gt;AT5,"0","1")),"")</f>
        <v>0</v>
      </c>
      <c r="AV5" s="234">
        <f>IF(N11&lt;&gt;0,R11," ")</f>
        <v>2</v>
      </c>
      <c r="AW5" s="231" t="str">
        <f>IF(N12&lt;&gt;0,N12," ")</f>
        <v> </v>
      </c>
      <c r="AX5" s="232" t="str">
        <f>IF(N12&lt;&gt;0,P12," ")</f>
        <v> </v>
      </c>
      <c r="AY5" s="232" t="str">
        <f>IF(N12&lt;&gt;0,O12," ")</f>
        <v> </v>
      </c>
      <c r="AZ5" s="236" t="str">
        <f>IF(N12&lt;&gt;0,IF(AX5&lt;AY5,"3",IF(AX5&gt;AY5,"0","1")),"")</f>
        <v/>
      </c>
      <c r="BA5" s="232" t="str">
        <f>IF(N12&lt;&gt;0,R12," ")</f>
        <v> </v>
      </c>
      <c r="BB5" s="231" t="str">
        <f>IF(N13&lt;&gt;0,N13," ")</f>
        <v> </v>
      </c>
      <c r="BC5" s="232" t="str">
        <f>IF(N13&lt;&gt;0,P13," ")</f>
        <v> </v>
      </c>
      <c r="BD5" s="233" t="str">
        <f>IF(N13&lt;&gt;0,O13," ")</f>
        <v> </v>
      </c>
      <c r="BE5" s="236" t="str">
        <f>IF(N13&lt;&gt;0,IF(BC5&lt;BD5,"3",IF(BC5&gt;BD5,"0","1")),"")</f>
        <v/>
      </c>
      <c r="BF5" s="232" t="str">
        <f>IF(N13&lt;&gt;0,R13," ")</f>
        <v> </v>
      </c>
      <c r="BG5" s="231" t="str">
        <f>IF(N14&lt;&gt;0,N14," ")</f>
        <v> </v>
      </c>
      <c r="BH5" s="232" t="str">
        <f>IF(N14&lt;&gt;0,P14," ")</f>
        <v> </v>
      </c>
      <c r="BI5" s="233" t="str">
        <f>IF(N14&lt;&gt;0,O14," ")</f>
        <v> </v>
      </c>
      <c r="BJ5" s="236" t="str">
        <f>IF(N14&lt;&gt;0,IF(BH5&lt;BI5,"3",IF(BH5&gt;BI5,"0","1")),"")</f>
        <v/>
      </c>
      <c r="BK5" s="232" t="str">
        <f>IF(N14&lt;&gt;0,R14," ")</f>
        <v> </v>
      </c>
      <c r="BL5" s="231" t="str">
        <f>IF(N15&lt;&gt;0,N15," ")</f>
        <v> </v>
      </c>
      <c r="BM5" s="232" t="str">
        <f>IF(N15&lt;&gt;0,P15," ")</f>
        <v> </v>
      </c>
      <c r="BN5" s="233" t="str">
        <f>IF(N15&lt;&gt;0,O15," ")</f>
        <v> </v>
      </c>
      <c r="BO5" s="236" t="str">
        <f>IF(N15&lt;&gt;0,IF(BM5&lt;BN5,"3",IF(BM5&gt;BN5,"0","1")),"")</f>
        <v/>
      </c>
      <c r="BP5" s="232" t="str">
        <f>IF(N15&lt;&gt;0,R15," ")</f>
        <v> </v>
      </c>
      <c r="BQ5" s="243" t="str">
        <f>IF(N16&lt;&gt;0,N16," ")</f>
        <v> </v>
      </c>
      <c r="BR5" s="242" t="str">
        <f>IF(N16&lt;&gt;0,P16," ")</f>
        <v> </v>
      </c>
      <c r="BS5" s="242" t="str">
        <f>IF(N16&lt;&gt;0,O16," ")</f>
        <v> </v>
      </c>
      <c r="BT5" s="236" t="str">
        <f>IF(N16&lt;&gt;0,IF(BR5&lt;BS5,"3",IF(BR5&gt;BS5,"0","1")),"")</f>
        <v/>
      </c>
      <c r="BU5" s="242" t="str">
        <f>IF(N16&lt;&gt;0,R16," ")</f>
        <v> </v>
      </c>
      <c r="BV5" s="243" t="str">
        <f>IF(N17&lt;&gt;0,N17," ")</f>
        <v> </v>
      </c>
      <c r="BW5" s="242" t="str">
        <f>IF(N17&lt;&gt;0,P17," ")</f>
        <v> </v>
      </c>
      <c r="BX5" s="242" t="str">
        <f>IF(N17&lt;&gt;0,O17," ")</f>
        <v> </v>
      </c>
      <c r="BY5" s="236" t="str">
        <f>IF(N17&lt;&gt;0,IF(BW5&lt;BX5,"3",IF(BW5&gt;BX5,"0","1")),"")</f>
        <v/>
      </c>
      <c r="BZ5" s="242" t="str">
        <f>IF(N17&lt;&gt;0,R17," ")</f>
        <v> </v>
      </c>
      <c r="CA5" s="243" t="str">
        <f>IF(N18&lt;&gt;0,N18," ")</f>
        <v> </v>
      </c>
      <c r="CB5" s="242" t="str">
        <f>IF(N18&lt;&gt;0,P18," ")</f>
        <v> </v>
      </c>
      <c r="CC5" s="242" t="str">
        <f>IF(N18&lt;&gt;0,O18," ")</f>
        <v> </v>
      </c>
      <c r="CD5" s="236" t="str">
        <f>IF(N18&lt;&gt;0,IF(CB5&lt;CC5,"3",IF(CB5&gt;CC5,"0","1"))," ")</f>
        <v> </v>
      </c>
      <c r="CE5" s="242" t="str">
        <f>IF(N18&lt;&gt;0,R18," ")</f>
        <v> </v>
      </c>
    </row>
    <row r="6" spans="1:83">
      <c r="A6" s="219"/>
      <c r="B6" s="220">
        <v>4</v>
      </c>
      <c r="C6" s="212" t="s">
        <v>9</v>
      </c>
      <c r="D6" s="222">
        <v>44618</v>
      </c>
      <c r="E6" s="223">
        <v>5</v>
      </c>
      <c r="F6" s="223">
        <v>1</v>
      </c>
      <c r="G6" s="224" t="str">
        <f t="shared" si="0"/>
        <v>0</v>
      </c>
      <c r="H6" s="224">
        <v>1</v>
      </c>
      <c r="I6" s="222"/>
      <c r="J6" s="223"/>
      <c r="K6" s="223"/>
      <c r="L6" s="224" t="str">
        <f t="shared" ref="L6:L18" si="1">IF(I6&lt;&gt;0,IF(J6&lt;K6,"3",IF(J6&gt;K6,"0","1")),"")</f>
        <v/>
      </c>
      <c r="M6" s="224"/>
      <c r="N6" s="222">
        <v>44611</v>
      </c>
      <c r="O6" s="223">
        <v>8</v>
      </c>
      <c r="P6" s="223">
        <v>4</v>
      </c>
      <c r="Q6" s="224" t="str">
        <f>IF(N6&lt;&gt;0,IF(O6&lt;P6,"3",IF(O6&gt;P6,"0","1")),"")</f>
        <v>0</v>
      </c>
      <c r="R6" s="224">
        <v>1</v>
      </c>
      <c r="S6" s="221" t="s">
        <v>21</v>
      </c>
      <c r="T6" s="221"/>
      <c r="U6" s="221"/>
      <c r="V6" s="221"/>
      <c r="W6" s="221"/>
      <c r="X6" s="235">
        <f>IF(S7&lt;&gt;0,S7," ")</f>
        <v>44660</v>
      </c>
      <c r="Y6" s="234">
        <f>IF(S7&lt;&gt;0,U7," ")</f>
        <v>6</v>
      </c>
      <c r="Z6" s="234">
        <f>IF(S7&lt;&gt;0,T7," ")</f>
        <v>0</v>
      </c>
      <c r="AA6" s="230" t="str">
        <f>IF(S7&lt;&gt;0,IF(Y6&lt;Z6,"3",IF(Y6&gt;Z6,"0","1")),"")</f>
        <v>0</v>
      </c>
      <c r="AB6" s="234">
        <f>IF(S7&lt;&gt;0,W7," ")</f>
        <v>2</v>
      </c>
      <c r="AC6" s="235">
        <f>IF(S8&lt;&gt;0,S8," ")</f>
        <v>44646</v>
      </c>
      <c r="AD6" s="234">
        <f>IF(S8&lt;&gt;0,U8," ")</f>
        <v>8</v>
      </c>
      <c r="AE6" s="229">
        <f>IF(S8&lt;&gt;0,T8," ")</f>
        <v>3</v>
      </c>
      <c r="AF6" s="230" t="str">
        <f>IF(S8&lt;&gt;0,IF(AD6&lt;AE6,"3",IF(AD6&gt;AE6,"0","1")),"")</f>
        <v>0</v>
      </c>
      <c r="AG6" s="234">
        <f>IF(S8&lt;&gt;0,W8," ")</f>
        <v>1</v>
      </c>
      <c r="AH6" s="235">
        <f>IF(S9&lt;&gt;0,S9," ")</f>
        <v>44674</v>
      </c>
      <c r="AI6" s="234">
        <f>IF(S9&lt;&gt;0,U9," ")</f>
        <v>5</v>
      </c>
      <c r="AJ6" s="229">
        <f>IF(S9&lt;&gt;0,T9," ")</f>
        <v>3</v>
      </c>
      <c r="AK6" s="230" t="str">
        <f>IF(S9&lt;&gt;0,IF(AI6&lt;AJ6,"3",IF(AI6&gt;AJ6,"0","1")),"")</f>
        <v>0</v>
      </c>
      <c r="AL6" s="234">
        <f>IF(S9&lt;&gt;0,W9," ")</f>
        <v>2</v>
      </c>
      <c r="AM6" s="235">
        <f>IF(S10&lt;&gt;0,S10," ")</f>
        <v>44639</v>
      </c>
      <c r="AN6" s="234">
        <f>IF(S10&lt;&gt;0,U10," ")</f>
        <v>4</v>
      </c>
      <c r="AO6" s="229">
        <f>IF(S10&lt;&gt;0,T10," ")</f>
        <v>3</v>
      </c>
      <c r="AP6" s="230" t="str">
        <f>IF(S10&lt;&gt;0,IF(AN6&lt;AO6,"3",IF(AN6&gt;AO6,"0","1")),"")</f>
        <v>0</v>
      </c>
      <c r="AQ6" s="234">
        <f>IF(S10&lt;&gt;0,W10," ")</f>
        <v>1</v>
      </c>
      <c r="AR6" s="231">
        <f>IF(S11&lt;&gt;0,S11," ")</f>
        <v>44632</v>
      </c>
      <c r="AS6" s="232">
        <f>IF(S11&lt;&gt;0,U11," ")</f>
        <v>8</v>
      </c>
      <c r="AT6" s="232">
        <f>IF(S11&lt;&gt;0,T11," ")</f>
        <v>0</v>
      </c>
      <c r="AU6" s="236" t="str">
        <f>IF(S11&lt;&gt;0,IF(AS6&lt;AT6,"3",IF(AS6&gt;AT6,"0","1")),"")</f>
        <v>0</v>
      </c>
      <c r="AV6" s="232">
        <f>IF(S11&lt;&gt;0,W11," ")</f>
        <v>1</v>
      </c>
      <c r="AW6" s="231" t="str">
        <f>IF(S12&lt;&gt;0,S12," ")</f>
        <v> </v>
      </c>
      <c r="AX6" s="232" t="str">
        <f>IF(S12&lt;&gt;0,U12," ")</f>
        <v> </v>
      </c>
      <c r="AY6" s="232" t="str">
        <f>IF(S12&lt;&gt;0,T12," ")</f>
        <v> </v>
      </c>
      <c r="AZ6" s="236" t="str">
        <f>IF(S12&lt;&gt;0,IF(AX6&lt;AY6,"3",IF(AX6&gt;AY6,"0","1")),"")</f>
        <v/>
      </c>
      <c r="BA6" s="232" t="str">
        <f>IF(S12&lt;&gt;0,W12," ")</f>
        <v> </v>
      </c>
      <c r="BB6" s="231" t="str">
        <f>IF(S13&lt;&gt;0,S13," ")</f>
        <v> </v>
      </c>
      <c r="BC6" s="232" t="str">
        <f>IF(S13&lt;&gt;0,U13," ")</f>
        <v> </v>
      </c>
      <c r="BD6" s="233" t="str">
        <f>IF(S13&lt;&gt;0,T13," ")</f>
        <v> </v>
      </c>
      <c r="BE6" s="236" t="str">
        <f>IF(S13&lt;&gt;0,IF(BC6&lt;BD6,"3",IF(BC6&gt;BD6,"0","1")),"")</f>
        <v/>
      </c>
      <c r="BF6" s="232" t="str">
        <f>IF(S13&lt;&gt;0,W13," ")</f>
        <v> </v>
      </c>
      <c r="BG6" s="231" t="str">
        <f>IF(S14&lt;&gt;0,S14," ")</f>
        <v> </v>
      </c>
      <c r="BH6" s="232" t="str">
        <f>IF(S14&lt;&gt;0,U14," ")</f>
        <v> </v>
      </c>
      <c r="BI6" s="233" t="str">
        <f>IF(S14&lt;&gt;0,T14," ")</f>
        <v> </v>
      </c>
      <c r="BJ6" s="236" t="str">
        <f>IF(S14&lt;&gt;0,IF(BH6&lt;BI6,"3",IF(BH6&gt;BI6,"0","1")),"")</f>
        <v/>
      </c>
      <c r="BK6" s="232" t="str">
        <f>IF(S14&lt;&gt;0,W14," ")</f>
        <v> </v>
      </c>
      <c r="BL6" s="231" t="str">
        <f>IF(S15&lt;&gt;0,S15," ")</f>
        <v> </v>
      </c>
      <c r="BM6" s="232" t="str">
        <f>IF(S15&lt;&gt;0,U15," ")</f>
        <v> </v>
      </c>
      <c r="BN6" s="233" t="str">
        <f>IF(S15&lt;&gt;0,T15," ")</f>
        <v> </v>
      </c>
      <c r="BO6" s="236" t="str">
        <f>IF(S15&lt;&gt;0,IF(BM6&lt;BN6,"3",IF(BM6&gt;BN6,"0","1")),"")</f>
        <v/>
      </c>
      <c r="BP6" s="232" t="str">
        <f>IF(S15&lt;&gt;0,W15," ")</f>
        <v> </v>
      </c>
      <c r="BQ6" s="243" t="str">
        <f>IF(S16&lt;&gt;0,S16," ")</f>
        <v> </v>
      </c>
      <c r="BR6" s="242" t="str">
        <f>IF(S16&lt;&gt;0,U16," ")</f>
        <v> </v>
      </c>
      <c r="BS6" s="242" t="str">
        <f>IF(S16&lt;&gt;0,T16," ")</f>
        <v> </v>
      </c>
      <c r="BT6" s="236" t="str">
        <f>IF(S16&lt;&gt;0,IF(BR6&lt;BS6,"3",IF(BR6&gt;BS6,"0","1")),"")</f>
        <v/>
      </c>
      <c r="BU6" s="242" t="str">
        <f>IF(S16&lt;&gt;0,W16," ")</f>
        <v> </v>
      </c>
      <c r="BV6" s="243" t="str">
        <f>IF(S17&lt;&gt;0,S17," ")</f>
        <v> </v>
      </c>
      <c r="BW6" s="242" t="str">
        <f>IF(S17&lt;&gt;0,U17," ")</f>
        <v> </v>
      </c>
      <c r="BX6" s="242" t="str">
        <f>IF(S17&lt;&gt;0,T17," ")</f>
        <v> </v>
      </c>
      <c r="BY6" s="236" t="str">
        <f>IF(S17&lt;&gt;0,IF(BW6&lt;BX6,"3",IF(BW6&gt;BX6,"0","1")),"")</f>
        <v/>
      </c>
      <c r="BZ6" s="242" t="str">
        <f>IF(S17&lt;&gt;0,W17," ")</f>
        <v> </v>
      </c>
      <c r="CA6" s="243" t="str">
        <f>IF(S18&lt;&gt;0,S18," ")</f>
        <v> </v>
      </c>
      <c r="CB6" s="242" t="str">
        <f>IF(S18&lt;&gt;0,U18," ")</f>
        <v> </v>
      </c>
      <c r="CC6" s="242" t="str">
        <f>IF(S18&lt;&gt;0,T18," ")</f>
        <v> </v>
      </c>
      <c r="CD6" s="236" t="str">
        <f>IF(S18&lt;&gt;0,IF(CB6&lt;CC6,"3",IF(CB6&gt;CC6,"0","1"))," ")</f>
        <v> </v>
      </c>
      <c r="CE6" s="242" t="str">
        <f>IF(S18&lt;&gt;0,W18," ")</f>
        <v> </v>
      </c>
    </row>
    <row r="7" spans="1:83">
      <c r="A7" s="219"/>
      <c r="B7" s="220">
        <v>5</v>
      </c>
      <c r="C7" s="212" t="s">
        <v>13</v>
      </c>
      <c r="D7" s="222"/>
      <c r="E7" s="223"/>
      <c r="F7" s="223"/>
      <c r="G7" s="224" t="str">
        <f t="shared" si="0"/>
        <v/>
      </c>
      <c r="H7" s="224"/>
      <c r="I7" s="222">
        <v>44639</v>
      </c>
      <c r="J7" s="223">
        <v>0</v>
      </c>
      <c r="K7" s="223">
        <v>2</v>
      </c>
      <c r="L7" s="224" t="str">
        <f t="shared" si="1"/>
        <v>3</v>
      </c>
      <c r="M7" s="224">
        <v>1</v>
      </c>
      <c r="N7" s="222">
        <v>44618</v>
      </c>
      <c r="O7" s="223">
        <v>3</v>
      </c>
      <c r="P7" s="223">
        <v>5</v>
      </c>
      <c r="Q7" s="224" t="str">
        <f t="shared" ref="Q7:Q18" si="2">IF(N7&lt;&gt;0,IF(O7&lt;P7,"3",IF(O7&gt;P7,"0","1")),"")</f>
        <v>3</v>
      </c>
      <c r="R7" s="224">
        <v>1</v>
      </c>
      <c r="S7" s="222">
        <v>44660</v>
      </c>
      <c r="T7" s="223">
        <v>0</v>
      </c>
      <c r="U7" s="223">
        <v>6</v>
      </c>
      <c r="V7" s="224" t="str">
        <f>IF(S7&lt;&gt;0,IF(T7&lt;U7,"3",IF(T7&gt;U7,"0","1")),"")</f>
        <v>3</v>
      </c>
      <c r="W7" s="224">
        <v>2</v>
      </c>
      <c r="X7" s="221" t="s">
        <v>21</v>
      </c>
      <c r="Y7" s="221"/>
      <c r="Z7" s="221"/>
      <c r="AA7" s="221"/>
      <c r="AB7" s="221"/>
      <c r="AC7" s="235">
        <f>IF(X8&lt;&gt;0,X8," ")</f>
        <v>44674</v>
      </c>
      <c r="AD7" s="234">
        <f>IF(X8&lt;&gt;0,Z8," ")</f>
        <v>4</v>
      </c>
      <c r="AE7" s="229">
        <f>IF(X8&lt;&gt;0,Y8," ")</f>
        <v>5</v>
      </c>
      <c r="AF7" s="230" t="str">
        <f>IF(X8&lt;&gt;0,IF(AD7&lt;AE7,"3",IF(AD7&gt;AE7,"0","1")),"")</f>
        <v>3</v>
      </c>
      <c r="AG7" s="234">
        <f>IF(X8&lt;&gt;0,AB8," ")</f>
        <v>2</v>
      </c>
      <c r="AH7" s="235">
        <f>IF(X9&lt;&gt;0,X9," ")</f>
        <v>44632</v>
      </c>
      <c r="AI7" s="234">
        <f>IF(X9&lt;&gt;0,Z9," ")</f>
        <v>1</v>
      </c>
      <c r="AJ7" s="234">
        <f>IF(X9&lt;&gt;0,Y9," ")</f>
        <v>6</v>
      </c>
      <c r="AK7" s="230" t="str">
        <f>IF(X9&lt;&gt;0,IF(AI7&lt;AJ7,"3",IF(AI7&gt;AJ7,"0","1")),"")</f>
        <v>3</v>
      </c>
      <c r="AL7" s="234">
        <f>IF(X9&lt;&gt;0,AB9," ")</f>
        <v>1</v>
      </c>
      <c r="AM7" s="231" t="str">
        <f>IF(X10&lt;&gt;0,X10," ")</f>
        <v> </v>
      </c>
      <c r="AN7" s="232" t="str">
        <f>IF(X10&lt;&gt;0,Z10," ")</f>
        <v> </v>
      </c>
      <c r="AO7" s="232" t="str">
        <f>IF(X10&lt;&gt;0,Y10," ")</f>
        <v> </v>
      </c>
      <c r="AP7" s="236" t="str">
        <f>IF(X10&lt;&gt;0,IF(AN7&lt;AO7,"3",IF(AN7&gt;AO7,"0","1")),"")</f>
        <v/>
      </c>
      <c r="AQ7" s="232" t="str">
        <f>IF(X10&lt;&gt;0,AB10," ")</f>
        <v> </v>
      </c>
      <c r="AR7" s="235">
        <f>IF(X11&lt;&gt;0,X11," ")</f>
        <v>44646</v>
      </c>
      <c r="AS7" s="234">
        <f>IF(X11&lt;&gt;0,Z11," ")</f>
        <v>4</v>
      </c>
      <c r="AT7" s="234">
        <f>IF(X11&lt;&gt;0,Y11," ")</f>
        <v>2</v>
      </c>
      <c r="AU7" s="230" t="str">
        <f>IF(X11&lt;&gt;0,IF(AS7&lt;AT7,"3",IF(AS7&gt;AT7,"0","1")),"")</f>
        <v>0</v>
      </c>
      <c r="AV7" s="234">
        <f>IF(X11&lt;&gt;0,AB11," ")</f>
        <v>1</v>
      </c>
      <c r="AW7" s="231" t="str">
        <f>IF(X12&lt;&gt;0,X12," ")</f>
        <v> </v>
      </c>
      <c r="AX7" s="232" t="str">
        <f>IF(X12&lt;&gt;0,Z12," ")</f>
        <v> </v>
      </c>
      <c r="AY7" s="233" t="str">
        <f>IF(X12&lt;&gt;0,Y12," ")</f>
        <v> </v>
      </c>
      <c r="AZ7" s="236" t="str">
        <f>IF(X12&lt;&gt;0,IF(AX7&lt;AY7,"3",IF(AX7&gt;AY7,"0","1")),"")</f>
        <v/>
      </c>
      <c r="BA7" s="232" t="str">
        <f>IF(X12&lt;&gt;0,AB12," ")</f>
        <v> </v>
      </c>
      <c r="BB7" s="231" t="str">
        <f>IF(X13&lt;&gt;0,X13," ")</f>
        <v> </v>
      </c>
      <c r="BC7" s="232" t="str">
        <f>IF(X13&lt;&gt;0,Z13," ")</f>
        <v> </v>
      </c>
      <c r="BD7" s="232" t="str">
        <f>IF(X13&lt;&gt;0,Y13," ")</f>
        <v> </v>
      </c>
      <c r="BE7" s="236" t="str">
        <f>IF(X13&lt;&gt;0,IF(BC7&lt;BD7,"3",IF(BC7&gt;BD7,"0","1")),"")</f>
        <v/>
      </c>
      <c r="BF7" s="232" t="str">
        <f>IF(X13&lt;&gt;0,AB13," ")</f>
        <v> </v>
      </c>
      <c r="BG7" s="231" t="str">
        <f>IF(X14&lt;&gt;0,X14," ")</f>
        <v> </v>
      </c>
      <c r="BH7" s="232" t="str">
        <f>IF(X14&lt;&gt;0,Z14," ")</f>
        <v> </v>
      </c>
      <c r="BI7" s="233" t="str">
        <f>IF(X14&lt;&gt;0,Y14," ")</f>
        <v> </v>
      </c>
      <c r="BJ7" s="236" t="str">
        <f>IF(X14&lt;&gt;0,IF(BH7&lt;BI7,"3",IF(BH7&gt;BI7,"0","1")),"")</f>
        <v/>
      </c>
      <c r="BK7" s="232" t="str">
        <f>IF(X14&lt;&gt;0,AB14," ")</f>
        <v> </v>
      </c>
      <c r="BL7" s="231" t="str">
        <f>IF(X15&lt;&gt;0,X15," ")</f>
        <v> </v>
      </c>
      <c r="BM7" s="232" t="str">
        <f>IF(X15&lt;&gt;0,Z15," ")</f>
        <v> </v>
      </c>
      <c r="BN7" s="233" t="str">
        <f>IF(X15&lt;&gt;0,Y15," ")</f>
        <v> </v>
      </c>
      <c r="BO7" s="236" t="str">
        <f>IF(X15&lt;&gt;0,IF(BM7&lt;BN7,"3",IF(BM7&gt;BN7,"0","1")),"")</f>
        <v/>
      </c>
      <c r="BP7" s="232" t="str">
        <f>IF(X15&lt;&gt;0,AB15," ")</f>
        <v> </v>
      </c>
      <c r="BQ7" s="243" t="str">
        <f>IF(X16&lt;&gt;0,X16," ")</f>
        <v> </v>
      </c>
      <c r="BR7" s="242" t="str">
        <f>IF(X16&lt;&gt;0,Z16," ")</f>
        <v> </v>
      </c>
      <c r="BS7" s="242" t="str">
        <f>IF(X16&lt;&gt;0,Y16," ")</f>
        <v> </v>
      </c>
      <c r="BT7" s="236" t="str">
        <f>IF(X16&lt;&gt;0,IF(BR7&lt;BS7,"3",IF(BR7&gt;BS7,"0","1")),"")</f>
        <v/>
      </c>
      <c r="BU7" s="242" t="str">
        <f>IF(X16&lt;&gt;0,AB16," ")</f>
        <v> </v>
      </c>
      <c r="BV7" s="243" t="str">
        <f>IF(X17&lt;&gt;0,X17," ")</f>
        <v> </v>
      </c>
      <c r="BW7" s="242" t="str">
        <f>IF(X17&lt;&gt;0,Z17," ")</f>
        <v> </v>
      </c>
      <c r="BX7" s="242" t="str">
        <f>IF(X17&lt;&gt;0,Y17," ")</f>
        <v> </v>
      </c>
      <c r="BY7" s="236" t="str">
        <f>IF(X17&lt;&gt;0,IF(BW7&lt;BX7,"3",IF(BW7&gt;BX7,"0","1")),"")</f>
        <v/>
      </c>
      <c r="BZ7" s="242" t="str">
        <f>IF(X17&lt;&gt;0,AB17," ")</f>
        <v> </v>
      </c>
      <c r="CA7" s="243" t="str">
        <f>IF(X18&lt;&gt;0,X18," ")</f>
        <v> </v>
      </c>
      <c r="CB7" s="242" t="str">
        <f>IF(X18&lt;&gt;0,Z18," ")</f>
        <v> </v>
      </c>
      <c r="CC7" s="242" t="str">
        <f>IF(X18&lt;&gt;0,Y18," ")</f>
        <v> </v>
      </c>
      <c r="CD7" s="236" t="str">
        <f>IF(X18&lt;&gt;0,IF(CB7&lt;CC7,"3",IF(CB7&gt;CC7,"0","1"))," ")</f>
        <v> </v>
      </c>
      <c r="CE7" s="242" t="str">
        <f>IF(X18&lt;&gt;0,AB18," ")</f>
        <v> </v>
      </c>
    </row>
    <row r="8" spans="1:83">
      <c r="A8" s="219"/>
      <c r="B8" s="220">
        <v>6</v>
      </c>
      <c r="C8" s="212" t="s">
        <v>23</v>
      </c>
      <c r="D8" s="124">
        <v>44604</v>
      </c>
      <c r="E8" s="125">
        <v>3</v>
      </c>
      <c r="F8" s="125">
        <v>0</v>
      </c>
      <c r="G8" s="126" t="str">
        <f t="shared" si="0"/>
        <v>0</v>
      </c>
      <c r="H8" s="126">
        <v>1</v>
      </c>
      <c r="I8" s="222">
        <v>44618</v>
      </c>
      <c r="J8" s="223">
        <v>2</v>
      </c>
      <c r="K8" s="223">
        <v>3</v>
      </c>
      <c r="L8" s="224" t="str">
        <f t="shared" si="1"/>
        <v>3</v>
      </c>
      <c r="M8" s="224">
        <v>1</v>
      </c>
      <c r="N8" s="222">
        <v>44639</v>
      </c>
      <c r="O8" s="223">
        <v>3</v>
      </c>
      <c r="P8" s="223">
        <v>2</v>
      </c>
      <c r="Q8" s="224" t="str">
        <f t="shared" si="2"/>
        <v>0</v>
      </c>
      <c r="R8" s="224">
        <v>1</v>
      </c>
      <c r="S8" s="222">
        <v>44646</v>
      </c>
      <c r="T8" s="223">
        <v>3</v>
      </c>
      <c r="U8" s="223">
        <v>8</v>
      </c>
      <c r="V8" s="224" t="str">
        <f t="shared" ref="V8:V18" si="3">IF(S8&lt;&gt;0,IF(T8&lt;U8,"3",IF(T8&gt;U8,"0","1")),"")</f>
        <v>3</v>
      </c>
      <c r="W8" s="224">
        <v>1</v>
      </c>
      <c r="X8" s="222">
        <v>44674</v>
      </c>
      <c r="Y8" s="223">
        <v>5</v>
      </c>
      <c r="Z8" s="223">
        <v>4</v>
      </c>
      <c r="AA8" s="224" t="str">
        <f>IF(X8&lt;&gt;0,IF(Y8&lt;Z8,"3",IF(Y8&gt;Z8,"0","1")),"")</f>
        <v>0</v>
      </c>
      <c r="AB8" s="224">
        <v>2</v>
      </c>
      <c r="AC8" s="221" t="s">
        <v>21</v>
      </c>
      <c r="AD8" s="221"/>
      <c r="AE8" s="221"/>
      <c r="AF8" s="221"/>
      <c r="AG8" s="221"/>
      <c r="AH8" s="235">
        <f>IF(AC9&lt;&gt;0,AC9," ")</f>
        <v>44611</v>
      </c>
      <c r="AI8" s="234">
        <f>IF(AC9&lt;&gt;0,AE9," ")</f>
        <v>4</v>
      </c>
      <c r="AJ8" s="229">
        <f>IF(AC9&lt;&gt;0,AD9," ")</f>
        <v>5</v>
      </c>
      <c r="AK8" s="230" t="str">
        <f>IF(AC9&lt;&gt;0,IF(AI8&lt;AJ8,"3",IF(AI8&gt;AJ8,"0","1")),"")</f>
        <v>3</v>
      </c>
      <c r="AL8" s="234">
        <f>IF(AC9&lt;&gt;0,AG9," ")</f>
        <v>1</v>
      </c>
      <c r="AM8" s="235">
        <f>IF(AC10&lt;&gt;0,AC10," ")</f>
        <v>44660</v>
      </c>
      <c r="AN8" s="234">
        <f>IF(AC10&lt;&gt;0,AE10," ")</f>
        <v>4</v>
      </c>
      <c r="AO8" s="229">
        <f>IF(AC10&lt;&gt;0,AD10," ")</f>
        <v>2</v>
      </c>
      <c r="AP8" s="230" t="str">
        <f>IF(AC10&lt;&gt;0,IF(AN8&lt;AO8,"3",IF(AN8&gt;AO8,"0","1")),"")</f>
        <v>0</v>
      </c>
      <c r="AQ8" s="234">
        <f>IF(AC10&lt;&gt;0,AG10," ")</f>
        <v>2</v>
      </c>
      <c r="AR8" s="235" t="str">
        <f>IF(AC11&lt;&gt;0,AC11," ")</f>
        <v> </v>
      </c>
      <c r="AS8" s="234" t="str">
        <f>IF(AC11&lt;&gt;0,AE11," ")</f>
        <v> </v>
      </c>
      <c r="AT8" s="234" t="str">
        <f>IF(AC11&lt;&gt;0,AD11," ")</f>
        <v> </v>
      </c>
      <c r="AU8" s="230" t="str">
        <f>IF(AC11&lt;&gt;0,IF(AS8&lt;AT8,"3",IF(AS8&gt;AT8,"0","1")),"")</f>
        <v/>
      </c>
      <c r="AV8" s="229" t="str">
        <f>IF(AC11&lt;&gt;0,AG11," ")</f>
        <v> </v>
      </c>
      <c r="AW8" s="231" t="str">
        <f>IF(AC12&lt;&gt;0,AC12," ")</f>
        <v> </v>
      </c>
      <c r="AX8" s="232" t="str">
        <f>IF(AC12&lt;&gt;0,AE12," ")</f>
        <v> </v>
      </c>
      <c r="AY8" s="233" t="str">
        <f>IF(AC12&lt;&gt;0,AD12," ")</f>
        <v> </v>
      </c>
      <c r="AZ8" s="236" t="str">
        <f>IF(AC12&lt;&gt;0,IF(AX8&lt;AY8,"3",IF(AX8&gt;AY8,"0","1")),"")</f>
        <v/>
      </c>
      <c r="BA8" s="233" t="str">
        <f>IF(AC12&lt;&gt;0,AG12," ")</f>
        <v> </v>
      </c>
      <c r="BB8" s="231" t="str">
        <f>IF(AC13&lt;&gt;0,AC13," ")</f>
        <v> </v>
      </c>
      <c r="BC8" s="232" t="str">
        <f>IF(AC13&lt;&gt;0,AE13," ")</f>
        <v> </v>
      </c>
      <c r="BD8" s="232" t="str">
        <f>IF(AC13&lt;&gt;0,AD13," ")</f>
        <v> </v>
      </c>
      <c r="BE8" s="236" t="str">
        <f>IF(AC13&lt;&gt;0,IF(BC8&lt;BD8,"3",IF(BC8&gt;BD8,"0","1")),"")</f>
        <v/>
      </c>
      <c r="BF8" s="232" t="str">
        <f>IF(AC13&lt;&gt;0,AG13," ")</f>
        <v> </v>
      </c>
      <c r="BG8" s="231" t="str">
        <f>IF(AC14&lt;&gt;0,AC14," ")</f>
        <v> </v>
      </c>
      <c r="BH8" s="232" t="str">
        <f>IF(AC14&lt;&gt;0,AE14," ")</f>
        <v> </v>
      </c>
      <c r="BI8" s="232" t="str">
        <f>IF(AC14&lt;&gt;0,AD14," ")</f>
        <v> </v>
      </c>
      <c r="BJ8" s="236" t="str">
        <f>IF(AC14&lt;&gt;0,IF(BH8&lt;BI8,"3",IF(BH8&gt;BI8,"0","1")),"")</f>
        <v/>
      </c>
      <c r="BK8" s="232" t="str">
        <f>IF(AC14&lt;&gt;0,AG14," ")</f>
        <v> </v>
      </c>
      <c r="BL8" s="231" t="str">
        <f>IF(AC15&lt;&gt;0,AC15," ")</f>
        <v> </v>
      </c>
      <c r="BM8" s="232" t="str">
        <f>IF(AC15&lt;&gt;0,AE15," ")</f>
        <v> </v>
      </c>
      <c r="BN8" s="233" t="str">
        <f>IF(AC15&lt;&gt;0,AD15," ")</f>
        <v> </v>
      </c>
      <c r="BO8" s="236" t="str">
        <f>IF(AC15&lt;&gt;0,IF(BM8&lt;BN8,"3",IF(BM8&gt;BN8,"0","1")),"")</f>
        <v/>
      </c>
      <c r="BP8" s="232" t="str">
        <f>IF(AC15&lt;&gt;0,AG15," ")</f>
        <v> </v>
      </c>
      <c r="BQ8" s="243" t="str">
        <f>IF(AC16&lt;&gt;0,AC16," ")</f>
        <v> </v>
      </c>
      <c r="BR8" s="242" t="str">
        <f>IF(AC16&lt;&gt;0,AE16," ")</f>
        <v> </v>
      </c>
      <c r="BS8" s="242" t="str">
        <f>IF(AC16&lt;&gt;0,AD16," ")</f>
        <v> </v>
      </c>
      <c r="BT8" s="236" t="str">
        <f>IF(AC16&lt;&gt;0,IF(BR8&lt;BS8,"3",IF(BR8&gt;BS8,"0","1")),"")</f>
        <v/>
      </c>
      <c r="BU8" s="242" t="str">
        <f>IF(AC16&lt;&gt;0,AG16," ")</f>
        <v> </v>
      </c>
      <c r="BV8" s="243" t="str">
        <f>IF(AC17&lt;&gt;0,AC17," ")</f>
        <v> </v>
      </c>
      <c r="BW8" s="242" t="str">
        <f>IF(AC17&lt;&gt;0,AE17," ")</f>
        <v> </v>
      </c>
      <c r="BX8" s="242" t="str">
        <f>IF(AC17&lt;&gt;0,AD17," ")</f>
        <v> </v>
      </c>
      <c r="BY8" s="236" t="str">
        <f>IF(AC17&lt;&gt;0,IF(BW8&lt;BX8,"3",IF(BW8&gt;BX8,"0","1")),"")</f>
        <v/>
      </c>
      <c r="BZ8" s="242" t="str">
        <f>IF(AC17&lt;&gt;0,AG17," ")</f>
        <v> </v>
      </c>
      <c r="CA8" s="243" t="str">
        <f>IF(AC18&lt;&gt;0,AC18," ")</f>
        <v> </v>
      </c>
      <c r="CB8" s="242" t="str">
        <f>IF(AC18&lt;&gt;0,AE18," ")</f>
        <v> </v>
      </c>
      <c r="CC8" s="242" t="str">
        <f>IF(AC18&lt;&gt;0,AD18," ")</f>
        <v> </v>
      </c>
      <c r="CD8" s="236" t="str">
        <f>IF(AC18&lt;&gt;0,IF(CB8&lt;CC8,"3",IF(CB8&gt;CC8,"0","1"))," ")</f>
        <v> </v>
      </c>
      <c r="CE8" s="242" t="str">
        <f>IF(AC18&lt;&gt;0,AG18," ")</f>
        <v> </v>
      </c>
    </row>
    <row r="9" spans="1:83">
      <c r="A9" s="219"/>
      <c r="B9" s="220">
        <v>7</v>
      </c>
      <c r="C9" s="212" t="s">
        <v>11</v>
      </c>
      <c r="D9" s="222">
        <v>44639</v>
      </c>
      <c r="E9" s="223">
        <v>4</v>
      </c>
      <c r="F9" s="223">
        <v>2</v>
      </c>
      <c r="G9" s="224" t="str">
        <f t="shared" si="0"/>
        <v>0</v>
      </c>
      <c r="H9" s="224">
        <v>1</v>
      </c>
      <c r="I9" s="124">
        <v>44604</v>
      </c>
      <c r="J9" s="125">
        <v>4</v>
      </c>
      <c r="K9" s="125">
        <v>1</v>
      </c>
      <c r="L9" s="126" t="str">
        <f t="shared" si="1"/>
        <v>0</v>
      </c>
      <c r="M9" s="126">
        <v>1</v>
      </c>
      <c r="N9" s="222">
        <v>44660</v>
      </c>
      <c r="O9" s="223">
        <v>2</v>
      </c>
      <c r="P9" s="223">
        <v>6</v>
      </c>
      <c r="Q9" s="224" t="str">
        <f t="shared" si="2"/>
        <v>3</v>
      </c>
      <c r="R9" s="224">
        <v>1</v>
      </c>
      <c r="S9" s="222">
        <v>44674</v>
      </c>
      <c r="T9" s="223">
        <v>3</v>
      </c>
      <c r="U9" s="223">
        <v>5</v>
      </c>
      <c r="V9" s="224" t="str">
        <f t="shared" si="3"/>
        <v>3</v>
      </c>
      <c r="W9" s="224">
        <v>2</v>
      </c>
      <c r="X9" s="222">
        <v>44632</v>
      </c>
      <c r="Y9" s="223">
        <v>6</v>
      </c>
      <c r="Z9" s="223">
        <v>1</v>
      </c>
      <c r="AA9" s="224" t="str">
        <f t="shared" ref="AA9:AA18" si="4">IF(X9&lt;&gt;0,IF(Y9&lt;Z9,"3",IF(Y9&gt;Z9,"0","1")),"")</f>
        <v>0</v>
      </c>
      <c r="AB9" s="224">
        <v>1</v>
      </c>
      <c r="AC9" s="222">
        <v>44611</v>
      </c>
      <c r="AD9" s="223">
        <v>5</v>
      </c>
      <c r="AE9" s="223">
        <v>4</v>
      </c>
      <c r="AF9" s="224" t="str">
        <f>IF(AC9&lt;&gt;0,IF(AD9&lt;AE9,"3",IF(AD9&gt;AE9,"0","1")),"")</f>
        <v>0</v>
      </c>
      <c r="AG9" s="224">
        <v>1</v>
      </c>
      <c r="AH9" s="221" t="s">
        <v>21</v>
      </c>
      <c r="AI9" s="221"/>
      <c r="AJ9" s="221"/>
      <c r="AK9" s="221"/>
      <c r="AL9" s="221"/>
      <c r="AM9" s="235" t="str">
        <f>IF(AH10&lt;&gt;0,AH10," ")</f>
        <v> </v>
      </c>
      <c r="AN9" s="234" t="str">
        <f>IF(AH10&lt;&gt;0,AJ10," ")</f>
        <v> </v>
      </c>
      <c r="AO9" s="229" t="str">
        <f>IF(AH10&lt;&gt;0,AI10," ")</f>
        <v> </v>
      </c>
      <c r="AP9" s="230" t="str">
        <f>IF(AH10&lt;&gt;0,IF(AN9&lt;AO9,"3",IF(AN9&gt;AO9,"0","1")),"")</f>
        <v/>
      </c>
      <c r="AQ9" s="234" t="str">
        <f>IF(AH10&lt;&gt;0,AL10," ")</f>
        <v> </v>
      </c>
      <c r="AR9" s="231" t="str">
        <f>IF(AH11&lt;&gt;0,AH11," ")</f>
        <v> </v>
      </c>
      <c r="AS9" s="232" t="str">
        <f>IF(AH11&lt;&gt;0,AJ11," ")</f>
        <v> </v>
      </c>
      <c r="AT9" s="233" t="str">
        <f>IF(AH11&lt;&gt;0,AI11," ")</f>
        <v> </v>
      </c>
      <c r="AU9" s="236" t="str">
        <f>IF(AH11&lt;&gt;0,IF(AS9&lt;AT9,"3",IF(AS9&gt;AT9,"0","1")),"")</f>
        <v/>
      </c>
      <c r="AV9" s="232" t="str">
        <f>IF(AH11&lt;&gt;0,AL11," ")</f>
        <v> </v>
      </c>
      <c r="AW9" s="231" t="str">
        <f>IF(AH12&lt;&gt;0,AH12," ")</f>
        <v> </v>
      </c>
      <c r="AX9" s="232" t="str">
        <f>IF(AH12&lt;&gt;0,AJ12," ")</f>
        <v> </v>
      </c>
      <c r="AY9" s="232" t="str">
        <f>IF(AH12&lt;&gt;0,AI12," ")</f>
        <v> </v>
      </c>
      <c r="AZ9" s="236" t="str">
        <f>IF(AH12&lt;&gt;0,IF(AX9&lt;AY9,"3",IF(AX9&gt;AY9,"0","1")),"")</f>
        <v/>
      </c>
      <c r="BA9" s="232" t="str">
        <f>IF(AH12&lt;&gt;0,AL12," ")</f>
        <v> </v>
      </c>
      <c r="BB9" s="231" t="str">
        <f>IF(AH13&lt;&gt;0,AH13," ")</f>
        <v> </v>
      </c>
      <c r="BC9" s="232" t="str">
        <f>IF(AH13&lt;&gt;0,AJ13," ")</f>
        <v> </v>
      </c>
      <c r="BD9" s="233" t="str">
        <f>IF(AH13&lt;&gt;0,AI13," ")</f>
        <v> </v>
      </c>
      <c r="BE9" s="236" t="str">
        <f>IF(AH13&lt;&gt;0,IF(BC9&lt;BD9,"3",IF(BC9&gt;BD9,"0","1")),"")</f>
        <v/>
      </c>
      <c r="BF9" s="232" t="str">
        <f>IF(AH13&lt;&gt;0,AL13," ")</f>
        <v> </v>
      </c>
      <c r="BG9" s="231" t="str">
        <f>IF(AH14&lt;&gt;0,AH14," ")</f>
        <v> </v>
      </c>
      <c r="BH9" s="232" t="str">
        <f>IF(AH14&lt;&gt;0,AJ14," ")</f>
        <v> </v>
      </c>
      <c r="BI9" s="232" t="str">
        <f>IF(AH14&lt;&gt;0,AI14," ")</f>
        <v> </v>
      </c>
      <c r="BJ9" s="236" t="str">
        <f>IF(AH14&lt;&gt;0,IF(BH9&lt;BI9,"3",IF(BH9&gt;BI9,"0","1")),"")</f>
        <v/>
      </c>
      <c r="BK9" s="232" t="str">
        <f>IF(AH14&lt;&gt;0,AL14," ")</f>
        <v> </v>
      </c>
      <c r="BL9" s="231" t="str">
        <f>IF(AH15&lt;&gt;0,AH15," ")</f>
        <v> </v>
      </c>
      <c r="BM9" s="232" t="str">
        <f>IF(AH15&lt;&gt;0,AJ15," ")</f>
        <v> </v>
      </c>
      <c r="BN9" s="232" t="str">
        <f>IF(AH15&lt;&gt;0,AI15," ")</f>
        <v> </v>
      </c>
      <c r="BO9" s="236" t="str">
        <f>IF(AH15&lt;&gt;0,IF(BM9&lt;BN9,"3",IF(BM9&gt;BN9,"0","1")),"")</f>
        <v/>
      </c>
      <c r="BP9" s="232" t="str">
        <f>IF(AH15&lt;&gt;0,AL15," ")</f>
        <v> </v>
      </c>
      <c r="BQ9" s="243" t="str">
        <f>IF(AH16&lt;&gt;0,AH16," ")</f>
        <v> </v>
      </c>
      <c r="BR9" s="242" t="str">
        <f>IF(AH16&lt;&gt;0,AJ16," ")</f>
        <v> </v>
      </c>
      <c r="BS9" s="242" t="str">
        <f>IF(AH16&lt;&gt;0,AI16," ")</f>
        <v> </v>
      </c>
      <c r="BT9" s="236" t="str">
        <f>IF(AH16&lt;&gt;0,IF(BR9&lt;BS9,"3",IF(BR9&gt;BS9,"0","1")),"")</f>
        <v/>
      </c>
      <c r="BU9" s="242" t="str">
        <f>IF(AH16&lt;&gt;0,AL16," ")</f>
        <v> </v>
      </c>
      <c r="BV9" s="243" t="str">
        <f>IF(AH17&lt;&gt;0,AH17," ")</f>
        <v> </v>
      </c>
      <c r="BW9" s="242" t="str">
        <f>IF(AH17&lt;&gt;0,AJ17," ")</f>
        <v> </v>
      </c>
      <c r="BX9" s="242" t="str">
        <f>IF(AH17&lt;&gt;0,AI17," ")</f>
        <v> </v>
      </c>
      <c r="BY9" s="236" t="str">
        <f>IF(AH17&lt;&gt;0,IF(BW9&lt;BX9,"3",IF(BW9&gt;BX9,"0","1")),"")</f>
        <v/>
      </c>
      <c r="BZ9" s="242" t="str">
        <f>IF(AH17&lt;&gt;0,AL17," ")</f>
        <v> </v>
      </c>
      <c r="CA9" s="243" t="str">
        <f>IF(AH18&lt;&gt;0,AH18," ")</f>
        <v> </v>
      </c>
      <c r="CB9" s="242" t="str">
        <f>IF(AH18&lt;&gt;0,AJ18," ")</f>
        <v> </v>
      </c>
      <c r="CC9" s="242" t="str">
        <f>IF(AH18&lt;&gt;0,AI18," ")</f>
        <v> </v>
      </c>
      <c r="CD9" s="236" t="str">
        <f>IF(AH18&lt;&gt;0,IF(CB9&lt;CC9,"3",IF(CB9&gt;CC9,"0","1"))," ")</f>
        <v> </v>
      </c>
      <c r="CE9" s="242" t="str">
        <f>IF(AH18&lt;&gt;0,AL18," ")</f>
        <v> </v>
      </c>
    </row>
    <row r="10" spans="1:83">
      <c r="A10" s="219"/>
      <c r="B10" s="220">
        <v>8</v>
      </c>
      <c r="C10" s="121" t="s">
        <v>14</v>
      </c>
      <c r="D10" s="124">
        <v>44625</v>
      </c>
      <c r="E10" s="125">
        <v>2</v>
      </c>
      <c r="F10" s="125">
        <v>5</v>
      </c>
      <c r="G10" s="126" t="str">
        <f t="shared" si="0"/>
        <v>3</v>
      </c>
      <c r="H10" s="126">
        <v>1</v>
      </c>
      <c r="I10" s="222">
        <v>44674</v>
      </c>
      <c r="J10" s="223">
        <v>1</v>
      </c>
      <c r="K10" s="223">
        <v>2</v>
      </c>
      <c r="L10" s="224" t="str">
        <f t="shared" si="1"/>
        <v>3</v>
      </c>
      <c r="M10" s="224">
        <v>1</v>
      </c>
      <c r="N10" s="222">
        <v>44632</v>
      </c>
      <c r="O10" s="223">
        <v>0</v>
      </c>
      <c r="P10" s="223">
        <v>7</v>
      </c>
      <c r="Q10" s="224" t="str">
        <f t="shared" si="2"/>
        <v>3</v>
      </c>
      <c r="R10" s="224">
        <v>1</v>
      </c>
      <c r="S10" s="222">
        <v>44639</v>
      </c>
      <c r="T10" s="223">
        <v>3</v>
      </c>
      <c r="U10" s="223">
        <v>4</v>
      </c>
      <c r="V10" s="224" t="str">
        <f t="shared" si="3"/>
        <v>3</v>
      </c>
      <c r="W10" s="224">
        <v>1</v>
      </c>
      <c r="X10" s="124"/>
      <c r="Y10" s="125"/>
      <c r="Z10" s="125"/>
      <c r="AA10" s="126" t="str">
        <f t="shared" si="4"/>
        <v/>
      </c>
      <c r="AB10" s="126"/>
      <c r="AC10" s="222">
        <v>44660</v>
      </c>
      <c r="AD10" s="223">
        <v>2</v>
      </c>
      <c r="AE10" s="223">
        <v>4</v>
      </c>
      <c r="AF10" s="224" t="str">
        <f t="shared" ref="AF10:AF18" si="5">IF(AC10&lt;&gt;0,IF(AD10&lt;AE10,"3",IF(AD10&gt;AE10,"0","1")),"")</f>
        <v>3</v>
      </c>
      <c r="AG10" s="224">
        <v>2</v>
      </c>
      <c r="AH10" s="222"/>
      <c r="AI10" s="223"/>
      <c r="AJ10" s="223"/>
      <c r="AK10" s="224" t="str">
        <f>IF(AH10&lt;&gt;0,IF(AI10&lt;AJ10,"3",IF(AI10&gt;AJ10,"0","1")),"")</f>
        <v/>
      </c>
      <c r="AL10" s="224"/>
      <c r="AM10" s="221" t="s">
        <v>21</v>
      </c>
      <c r="AN10" s="221"/>
      <c r="AO10" s="221"/>
      <c r="AP10" s="221"/>
      <c r="AQ10" s="221"/>
      <c r="AR10" s="235">
        <f>IF(AM11&lt;&gt;0,AM11," ")</f>
        <v>44653</v>
      </c>
      <c r="AS10" s="234">
        <f>IF(AM11&lt;&gt;0,AO11," ")</f>
        <v>2</v>
      </c>
      <c r="AT10" s="229">
        <f>IF(AM11&lt;&gt;0,AN11," ")</f>
        <v>3</v>
      </c>
      <c r="AU10" s="230" t="str">
        <f>IF(AM11&lt;&gt;0,IF(AS10&lt;AT10,"3",IF(AS10&gt;AT10,"0","1")),"")</f>
        <v>3</v>
      </c>
      <c r="AV10" s="234">
        <f>IF(AM11&lt;&gt;0,AQ11," ")</f>
        <v>2</v>
      </c>
      <c r="AW10" s="231" t="str">
        <f>IF(AM12&lt;&gt;0,AM12," ")</f>
        <v> </v>
      </c>
      <c r="AX10" s="232" t="str">
        <f>IF(AM12&lt;&gt;0,AO12," ")</f>
        <v> </v>
      </c>
      <c r="AY10" s="232" t="str">
        <f>IF(AM12&lt;&gt;0,AN12," ")</f>
        <v> </v>
      </c>
      <c r="AZ10" s="236" t="str">
        <f>IF(AM12&lt;&gt;0,IF(AX10&lt;AY10,"3",IF(AX10&gt;AY10,"0","1")),"")</f>
        <v/>
      </c>
      <c r="BA10" s="232" t="str">
        <f>IF(AM12&lt;&gt;0,AQ12," ")</f>
        <v> </v>
      </c>
      <c r="BB10" s="231" t="str">
        <f>IF(AM13&lt;&gt;0,AM13," ")</f>
        <v> </v>
      </c>
      <c r="BC10" s="232" t="str">
        <f>IF(AM13&lt;&gt;0,AO13," ")</f>
        <v> </v>
      </c>
      <c r="BD10" s="233" t="str">
        <f>IF(AM13&lt;&gt;0,AN13," ")</f>
        <v> </v>
      </c>
      <c r="BE10" s="236" t="str">
        <f>IF(AM13&lt;&gt;0,IF(BC10&lt;BD10,"3",IF(BC10&gt;BD10,"0","1")),"")</f>
        <v/>
      </c>
      <c r="BF10" s="232" t="str">
        <f>IF(AM13&lt;&gt;0,AQ13," ")</f>
        <v> </v>
      </c>
      <c r="BG10" s="231" t="str">
        <f>IF(AM14&lt;&gt;0,AM14," ")</f>
        <v> </v>
      </c>
      <c r="BH10" s="232" t="str">
        <f>IF(AM14&lt;&gt;0,AO14," ")</f>
        <v> </v>
      </c>
      <c r="BI10" s="233" t="str">
        <f>IF(AM14&lt;&gt;0,AN14," ")</f>
        <v> </v>
      </c>
      <c r="BJ10" s="236" t="str">
        <f>IF(AM14&lt;&gt;0,IF(BH10&lt;BI10,"3",IF(BH10&gt;BI10,"0","1")),"")</f>
        <v/>
      </c>
      <c r="BK10" s="232" t="str">
        <f>IF(AM14&lt;&gt;0,AQ14," ")</f>
        <v> </v>
      </c>
      <c r="BL10" s="231" t="str">
        <f>IF(AM15&lt;&gt;0,AM15," ")</f>
        <v> </v>
      </c>
      <c r="BM10" s="232" t="str">
        <f>IF(AM15&lt;&gt;0,AO15," ")</f>
        <v> </v>
      </c>
      <c r="BN10" s="232" t="str">
        <f>IF(AM15&lt;&gt;0,AN15," ")</f>
        <v> </v>
      </c>
      <c r="BO10" s="236" t="str">
        <f>IF(AM15&lt;&gt;0,IF(BM10&lt;BN10,"3",IF(BM10&gt;BN10,"0","1")),"")</f>
        <v/>
      </c>
      <c r="BP10" s="232" t="str">
        <f>IF(AM15&lt;&gt;0,AQ15," ")</f>
        <v> </v>
      </c>
      <c r="BQ10" s="243" t="str">
        <f>IF(AM16&lt;&gt;0,AM16," ")</f>
        <v> </v>
      </c>
      <c r="BR10" s="242" t="str">
        <f>IF(AM16&lt;&gt;0,AO16," ")</f>
        <v> </v>
      </c>
      <c r="BS10" s="242" t="str">
        <f>IF(AM16&lt;&gt;0,AN16," ")</f>
        <v> </v>
      </c>
      <c r="BT10" s="236" t="str">
        <f>IF(AM16&lt;&gt;0,IF(BR10&lt;BS10,"3",IF(BR10&gt;BS10,"0","1")),"")</f>
        <v/>
      </c>
      <c r="BU10" s="242" t="str">
        <f>IF(AM16&lt;&gt;0,AQ16," ")</f>
        <v> </v>
      </c>
      <c r="BV10" s="243" t="str">
        <f>IF(AM17&lt;&gt;0,AM17," ")</f>
        <v> </v>
      </c>
      <c r="BW10" s="242" t="str">
        <f>IF(AM17&lt;&gt;0,AO17," ")</f>
        <v> </v>
      </c>
      <c r="BX10" s="242" t="str">
        <f>IF(AM17&lt;&gt;0,AN17," ")</f>
        <v> </v>
      </c>
      <c r="BY10" s="236" t="str">
        <f>IF(AM17&lt;&gt;0,IF(BW10&lt;BX10,"3",IF(BW10&gt;BX10,"0","1")),"")</f>
        <v/>
      </c>
      <c r="BZ10" s="242" t="str">
        <f>IF(AM17&lt;&gt;0,AQ17," ")</f>
        <v> </v>
      </c>
      <c r="CA10" s="243" t="str">
        <f>IF(AM18&lt;&gt;0,AM18," ")</f>
        <v> </v>
      </c>
      <c r="CB10" s="242" t="str">
        <f>IF(AM18&lt;&gt;0,AO18," ")</f>
        <v> </v>
      </c>
      <c r="CC10" s="242" t="str">
        <f>IF(AM18&lt;&gt;0,AN18," ")</f>
        <v> </v>
      </c>
      <c r="CD10" s="236" t="str">
        <f>IF(AM18&lt;&gt;0,IF(CB10&lt;CC10,"3",IF(CB10&gt;CC10,"0","1"))," ")</f>
        <v> </v>
      </c>
      <c r="CE10" s="242" t="str">
        <f>IF(AM18&lt;&gt;0,AQ18," ")</f>
        <v> </v>
      </c>
    </row>
    <row r="11" spans="1:83">
      <c r="A11" s="219"/>
      <c r="B11" s="220">
        <v>9</v>
      </c>
      <c r="C11" s="212" t="s">
        <v>24</v>
      </c>
      <c r="D11" s="124"/>
      <c r="E11" s="125"/>
      <c r="F11" s="125"/>
      <c r="G11" s="126" t="str">
        <f t="shared" si="0"/>
        <v/>
      </c>
      <c r="H11" s="126"/>
      <c r="I11" s="222">
        <v>44625</v>
      </c>
      <c r="J11" s="223">
        <v>2</v>
      </c>
      <c r="K11" s="223">
        <v>8</v>
      </c>
      <c r="L11" s="224" t="str">
        <f t="shared" si="1"/>
        <v>3</v>
      </c>
      <c r="M11" s="224">
        <v>4</v>
      </c>
      <c r="N11" s="222">
        <v>44674</v>
      </c>
      <c r="O11" s="223">
        <v>0</v>
      </c>
      <c r="P11" s="223">
        <v>6</v>
      </c>
      <c r="Q11" s="224" t="str">
        <f t="shared" si="2"/>
        <v>3</v>
      </c>
      <c r="R11" s="224">
        <v>2</v>
      </c>
      <c r="S11" s="222">
        <v>44632</v>
      </c>
      <c r="T11" s="223">
        <v>0</v>
      </c>
      <c r="U11" s="223">
        <v>8</v>
      </c>
      <c r="V11" s="224" t="str">
        <f t="shared" si="3"/>
        <v>3</v>
      </c>
      <c r="W11" s="224">
        <v>1</v>
      </c>
      <c r="X11" s="222">
        <v>44646</v>
      </c>
      <c r="Y11" s="223">
        <v>2</v>
      </c>
      <c r="Z11" s="223">
        <v>4</v>
      </c>
      <c r="AA11" s="224" t="str">
        <f t="shared" si="4"/>
        <v>3</v>
      </c>
      <c r="AB11" s="224">
        <v>1</v>
      </c>
      <c r="AC11" s="222"/>
      <c r="AD11" s="223"/>
      <c r="AE11" s="223"/>
      <c r="AF11" s="224" t="str">
        <f t="shared" si="5"/>
        <v/>
      </c>
      <c r="AG11" s="224"/>
      <c r="AH11" s="124"/>
      <c r="AI11" s="125"/>
      <c r="AJ11" s="125"/>
      <c r="AK11" s="126" t="str">
        <f t="shared" ref="AK11:AK18" si="6">IF(AH11&lt;&gt;0,IF(AI11&lt;AJ11,"3",IF(AI11&gt;AJ11,"0","1")),"")</f>
        <v/>
      </c>
      <c r="AL11" s="126"/>
      <c r="AM11" s="222">
        <v>44653</v>
      </c>
      <c r="AN11" s="223">
        <v>3</v>
      </c>
      <c r="AO11" s="223">
        <v>2</v>
      </c>
      <c r="AP11" s="224" t="str">
        <f>IF(AM11&lt;&gt;0,IF(AN11&lt;AO11,"3",IF(AN11&gt;AO11,"0","1")),"")</f>
        <v>0</v>
      </c>
      <c r="AQ11" s="224">
        <v>2</v>
      </c>
      <c r="AR11" s="221" t="s">
        <v>21</v>
      </c>
      <c r="AS11" s="221"/>
      <c r="AT11" s="221"/>
      <c r="AU11" s="221"/>
      <c r="AV11" s="221"/>
      <c r="AW11" s="231" t="str">
        <f>IF(AR12&lt;&gt;0,AR12," ")</f>
        <v> </v>
      </c>
      <c r="AX11" s="232" t="str">
        <f>IF(AR12&lt;&gt;0,AT12," ")</f>
        <v> </v>
      </c>
      <c r="AY11" s="233" t="str">
        <f>IF(AR12&lt;&gt;0,AS12," ")</f>
        <v> </v>
      </c>
      <c r="AZ11" s="236" t="str">
        <f>IF(AR12&lt;&gt;0,IF(AX11&lt;AY11,"3",IF(AX11&gt;AY11,"0","1")),"")</f>
        <v/>
      </c>
      <c r="BA11" s="232" t="str">
        <f>IF(AR12&lt;&gt;0,AV12," ")</f>
        <v> </v>
      </c>
      <c r="BB11" s="231" t="str">
        <f>IF(AR13&lt;&gt;0,AR13," ")</f>
        <v> </v>
      </c>
      <c r="BC11" s="232" t="str">
        <f>IF(AR13&lt;&gt;0,AT13," ")</f>
        <v> </v>
      </c>
      <c r="BD11" s="232" t="str">
        <f>IF(AR13&lt;&gt;0,AS13," ")</f>
        <v> </v>
      </c>
      <c r="BE11" s="236" t="str">
        <f>IF(AR13&lt;&gt;0,IF(BC11&lt;BD11,"3",IF(BC11&gt;BD11,"0","1")),"")</f>
        <v/>
      </c>
      <c r="BF11" s="232" t="str">
        <f>IF(AR13&lt;&gt;0,AV13," ")</f>
        <v> </v>
      </c>
      <c r="BG11" s="231" t="str">
        <f>IF(AR14&lt;&gt;0,AR14," ")</f>
        <v> </v>
      </c>
      <c r="BH11" s="232" t="str">
        <f>IF(AR14&lt;&gt;0,AT14," ")</f>
        <v> </v>
      </c>
      <c r="BI11" s="233" t="str">
        <f>IF(AR14&lt;&gt;0,AS14," ")</f>
        <v> </v>
      </c>
      <c r="BJ11" s="236" t="str">
        <f>IF(AR14&lt;&gt;0,IF(BH11&lt;BI11,"3",IF(BH11&gt;BI11,"0","1")),"")</f>
        <v/>
      </c>
      <c r="BK11" s="232" t="str">
        <f>IF(AR14&lt;&gt;0,AV14," ")</f>
        <v> </v>
      </c>
      <c r="BL11" s="231" t="str">
        <f>IF(AR15&lt;&gt;0,AR15," ")</f>
        <v> </v>
      </c>
      <c r="BM11" s="232" t="str">
        <f>IF(AR15&lt;&gt;0,AT15," ")</f>
        <v> </v>
      </c>
      <c r="BN11" s="233" t="str">
        <f>IF(AR15&lt;&gt;0,AS15," ")</f>
        <v> </v>
      </c>
      <c r="BO11" s="236" t="str">
        <f>IF(AR15&lt;&gt;0,IF(BM11&lt;BN11,"3",IF(BM11&gt;BN11,"0","1")),"")</f>
        <v/>
      </c>
      <c r="BP11" s="232" t="str">
        <f>IF(AR15&lt;&gt;0,AV15," ")</f>
        <v> </v>
      </c>
      <c r="BQ11" s="243" t="str">
        <f>IF(AR16&lt;&gt;0,AR16," ")</f>
        <v> </v>
      </c>
      <c r="BR11" s="242" t="str">
        <f>IF(AR16&lt;&gt;0,AT16," ")</f>
        <v> </v>
      </c>
      <c r="BS11" s="242" t="str">
        <f>IF(AR16&lt;&gt;0,AS16," ")</f>
        <v> </v>
      </c>
      <c r="BT11" s="236" t="str">
        <f>IF(AR16&lt;&gt;0,IF(BR11&lt;BS11,"3",IF(BR11&gt;BS11,"0","1")),"")</f>
        <v/>
      </c>
      <c r="BU11" s="242" t="str">
        <f>IF(AR16&lt;&gt;0,AV16," ")</f>
        <v> </v>
      </c>
      <c r="BV11" s="243" t="str">
        <f>IF(AR17&lt;&gt;0,AR17," ")</f>
        <v> </v>
      </c>
      <c r="BW11" s="242" t="str">
        <f>IF(AR17&lt;&gt;0,AT17," ")</f>
        <v> </v>
      </c>
      <c r="BX11" s="242" t="str">
        <f>IF(AR17&lt;&gt;0,AS17," ")</f>
        <v> </v>
      </c>
      <c r="BY11" s="236" t="str">
        <f>IF(AR17&lt;&gt;0,IF(BW11&lt;BX11,"3",IF(BW11&gt;BX11,"0","1")),"")</f>
        <v/>
      </c>
      <c r="BZ11" s="242" t="str">
        <f>IF(AR17&lt;&gt;0,AV17," ")</f>
        <v> </v>
      </c>
      <c r="CA11" s="243" t="str">
        <f>IF(AR18&lt;&gt;0,AR18," ")</f>
        <v> </v>
      </c>
      <c r="CB11" s="242" t="str">
        <f>IF(AR18&lt;&gt;0,AT18," ")</f>
        <v> </v>
      </c>
      <c r="CC11" s="242" t="str">
        <f>IF(AR18&lt;&gt;0,AS18," ")</f>
        <v> </v>
      </c>
      <c r="CD11" s="236" t="str">
        <f>IF(AR18&lt;&gt;0,IF(CB11&lt;CC11,"3",IF(CB11&gt;CC11,"0","1"))," ")</f>
        <v> </v>
      </c>
      <c r="CE11" s="242" t="str">
        <f>IF(AR18&lt;&gt;0,AV18," ")</f>
        <v> </v>
      </c>
    </row>
    <row r="12" spans="1:83">
      <c r="A12" s="219"/>
      <c r="B12" s="225">
        <v>10</v>
      </c>
      <c r="C12" s="212"/>
      <c r="D12" s="124"/>
      <c r="E12" s="125"/>
      <c r="F12" s="125"/>
      <c r="G12" s="126" t="str">
        <f t="shared" si="0"/>
        <v/>
      </c>
      <c r="H12" s="126"/>
      <c r="I12" s="124"/>
      <c r="J12" s="125"/>
      <c r="K12" s="125"/>
      <c r="L12" s="126" t="str">
        <f t="shared" si="1"/>
        <v/>
      </c>
      <c r="M12" s="126"/>
      <c r="N12" s="124"/>
      <c r="O12" s="125"/>
      <c r="P12" s="125"/>
      <c r="Q12" s="126" t="str">
        <f t="shared" si="2"/>
        <v/>
      </c>
      <c r="R12" s="126"/>
      <c r="S12" s="124"/>
      <c r="T12" s="125"/>
      <c r="U12" s="125"/>
      <c r="V12" s="126" t="str">
        <f t="shared" si="3"/>
        <v/>
      </c>
      <c r="W12" s="126"/>
      <c r="X12" s="124"/>
      <c r="Y12" s="125"/>
      <c r="Z12" s="125"/>
      <c r="AA12" s="126" t="str">
        <f t="shared" si="4"/>
        <v/>
      </c>
      <c r="AB12" s="126"/>
      <c r="AC12" s="124"/>
      <c r="AD12" s="125"/>
      <c r="AE12" s="125"/>
      <c r="AF12" s="126" t="str">
        <f t="shared" si="5"/>
        <v/>
      </c>
      <c r="AG12" s="126"/>
      <c r="AH12" s="124"/>
      <c r="AI12" s="125"/>
      <c r="AJ12" s="125"/>
      <c r="AK12" s="126" t="str">
        <f t="shared" si="6"/>
        <v/>
      </c>
      <c r="AL12" s="126"/>
      <c r="AM12" s="124"/>
      <c r="AN12" s="125"/>
      <c r="AO12" s="125"/>
      <c r="AP12" s="126" t="str">
        <f t="shared" ref="AP12:AP18" si="7">IF(AM12&lt;&gt;0,IF(AN12&lt;AO12,"3",IF(AN12&gt;AO12,"0","1")),"")</f>
        <v/>
      </c>
      <c r="AQ12" s="126"/>
      <c r="AR12" s="124"/>
      <c r="AS12" s="125"/>
      <c r="AT12" s="125"/>
      <c r="AU12" s="126" t="str">
        <f>IF(AR12&lt;&gt;0,IF(AS12&lt;AT12,"3",IF(AS12&gt;AT12,"0","1")),"")</f>
        <v/>
      </c>
      <c r="AV12" s="126"/>
      <c r="AW12" s="221" t="s">
        <v>21</v>
      </c>
      <c r="AX12" s="221"/>
      <c r="AY12" s="221"/>
      <c r="AZ12" s="221"/>
      <c r="BA12" s="221"/>
      <c r="BB12" s="231" t="str">
        <f>IF(AW13&lt;&gt;0,AW13," ")</f>
        <v> </v>
      </c>
      <c r="BC12" s="232" t="str">
        <f>IF(AW13&lt;&gt;0,AY13," ")</f>
        <v> </v>
      </c>
      <c r="BD12" s="233" t="str">
        <f>IF(AW13&lt;&gt;0,AX13," ")</f>
        <v> </v>
      </c>
      <c r="BE12" s="236" t="str">
        <f>IF(AW13&lt;&gt;0,IF(BC12&lt;BD12,"3",IF(BC12&gt;BD12,"0","1")),"")</f>
        <v/>
      </c>
      <c r="BF12" s="232" t="str">
        <f>IF(AW13&lt;&gt;0,BA13," ")</f>
        <v> </v>
      </c>
      <c r="BG12" s="231" t="str">
        <f>IF(AW14&lt;&gt;0,AW14," ")</f>
        <v> </v>
      </c>
      <c r="BH12" s="232" t="str">
        <f>IF(AW14&lt;&gt;0,AY14," ")</f>
        <v> </v>
      </c>
      <c r="BI12" s="232" t="str">
        <f>IF(AW14&lt;&gt;0,AX14," ")</f>
        <v> </v>
      </c>
      <c r="BJ12" s="236" t="str">
        <f>IF(AW14&lt;&gt;0,IF(BH12&lt;BI12,"3",IF(BH12&gt;BI12,"0","1")),"")</f>
        <v/>
      </c>
      <c r="BK12" s="232" t="str">
        <f>IF(AW14&lt;&gt;0,BA14," ")</f>
        <v> </v>
      </c>
      <c r="BL12" s="231" t="str">
        <f>IF(AW15&lt;&gt;0,AW15," ")</f>
        <v> </v>
      </c>
      <c r="BM12" s="232" t="str">
        <f>IF(AW15&lt;&gt;0,AY15," ")</f>
        <v> </v>
      </c>
      <c r="BN12" s="233" t="str">
        <f>IF(AW15&lt;&gt;0,AX15," ")</f>
        <v> </v>
      </c>
      <c r="BO12" s="236" t="str">
        <f>IF(AW15&lt;&gt;0,IF(BM12&lt;BN12,"3",IF(BM12&gt;BN12,"0","1")),"")</f>
        <v/>
      </c>
      <c r="BP12" s="232" t="str">
        <f>IF(AW15&lt;&gt;0,BA15," ")</f>
        <v> </v>
      </c>
      <c r="BQ12" s="243" t="str">
        <f>IF(AW16&lt;&gt;0,AW16," ")</f>
        <v> </v>
      </c>
      <c r="BR12" s="242" t="str">
        <f>IF(AW16&lt;&gt;0,AY16," ")</f>
        <v> </v>
      </c>
      <c r="BS12" s="242" t="str">
        <f>IF(AW16&lt;&gt;0,AX16," ")</f>
        <v> </v>
      </c>
      <c r="BT12" s="236" t="str">
        <f>IF(AW16&lt;&gt;0,IF(BR12&lt;BS12,"3",IF(BR12&gt;BS12,"0","1")),"")</f>
        <v/>
      </c>
      <c r="BU12" s="242" t="str">
        <f>IF(AW16&lt;&gt;0,BA16," ")</f>
        <v> </v>
      </c>
      <c r="BV12" s="243" t="str">
        <f>IF(AW17&lt;&gt;0,AW17," ")</f>
        <v> </v>
      </c>
      <c r="BW12" s="242" t="str">
        <f>IF(AW17&lt;&gt;0,AY17," ")</f>
        <v> </v>
      </c>
      <c r="BX12" s="242" t="str">
        <f>IF(AW17&lt;&gt;0,AX17," ")</f>
        <v> </v>
      </c>
      <c r="BY12" s="236" t="str">
        <f>IF(AW17&lt;&gt;0,IF(BW12&lt;BX12,"3",IF(BW12&gt;BX12,"0","1")),"")</f>
        <v/>
      </c>
      <c r="BZ12" s="242" t="str">
        <f>IF(AW17&lt;&gt;0,BA17," ")</f>
        <v> </v>
      </c>
      <c r="CA12" s="243" t="str">
        <f>IF(AW18&lt;&gt;0,AW18," ")</f>
        <v> </v>
      </c>
      <c r="CB12" s="242" t="str">
        <f>IF(AW18&lt;&gt;0,AY18," ")</f>
        <v> </v>
      </c>
      <c r="CC12" s="242" t="str">
        <f>IF(AW18&lt;&gt;0,AX18," ")</f>
        <v> </v>
      </c>
      <c r="CD12" s="236" t="str">
        <f>IF(AW18&lt;&gt;0,IF(CB12&lt;CC12,"3",IF(CB12&gt;CC12,"0","1"))," ")</f>
        <v> </v>
      </c>
      <c r="CE12" s="242" t="str">
        <f>IF(AW18&lt;&gt;0,BA18," ")</f>
        <v> </v>
      </c>
    </row>
    <row r="13" spans="1:83">
      <c r="A13" s="219"/>
      <c r="B13" s="225">
        <v>11</v>
      </c>
      <c r="C13" s="121"/>
      <c r="D13" s="124"/>
      <c r="E13" s="125"/>
      <c r="F13" s="125"/>
      <c r="G13" s="126" t="str">
        <f t="shared" si="0"/>
        <v/>
      </c>
      <c r="H13" s="126"/>
      <c r="I13" s="124"/>
      <c r="J13" s="125"/>
      <c r="K13" s="125"/>
      <c r="L13" s="126" t="str">
        <f t="shared" si="1"/>
        <v/>
      </c>
      <c r="M13" s="126"/>
      <c r="N13" s="124"/>
      <c r="O13" s="125"/>
      <c r="P13" s="125"/>
      <c r="Q13" s="126" t="str">
        <f t="shared" si="2"/>
        <v/>
      </c>
      <c r="R13" s="126"/>
      <c r="S13" s="124"/>
      <c r="T13" s="125"/>
      <c r="U13" s="125"/>
      <c r="V13" s="126" t="str">
        <f t="shared" si="3"/>
        <v/>
      </c>
      <c r="W13" s="126"/>
      <c r="X13" s="124"/>
      <c r="Y13" s="125"/>
      <c r="Z13" s="125"/>
      <c r="AA13" s="126" t="str">
        <f t="shared" si="4"/>
        <v/>
      </c>
      <c r="AB13" s="126"/>
      <c r="AC13" s="124"/>
      <c r="AD13" s="125"/>
      <c r="AE13" s="125"/>
      <c r="AF13" s="126" t="str">
        <f t="shared" si="5"/>
        <v/>
      </c>
      <c r="AG13" s="126"/>
      <c r="AH13" s="124"/>
      <c r="AI13" s="125"/>
      <c r="AJ13" s="125"/>
      <c r="AK13" s="126" t="str">
        <f t="shared" si="6"/>
        <v/>
      </c>
      <c r="AL13" s="126"/>
      <c r="AM13" s="124"/>
      <c r="AN13" s="125"/>
      <c r="AO13" s="125"/>
      <c r="AP13" s="126" t="str">
        <f t="shared" si="7"/>
        <v/>
      </c>
      <c r="AQ13" s="126"/>
      <c r="AR13" s="124"/>
      <c r="AS13" s="125"/>
      <c r="AT13" s="125"/>
      <c r="AU13" s="126" t="str">
        <f t="shared" ref="AU13:AU18" si="8">IF(AR13&lt;&gt;0,IF(AS13&lt;AT13,"3",IF(AS13&gt;AT13,"0","1")),"")</f>
        <v/>
      </c>
      <c r="AV13" s="126"/>
      <c r="AW13" s="124"/>
      <c r="AX13" s="125"/>
      <c r="AY13" s="125"/>
      <c r="AZ13" s="126" t="str">
        <f>IF(AW13&lt;&gt;0,IF(AX13&lt;AY13,"3",IF(AX13&gt;AY13,"0","1")),"")</f>
        <v/>
      </c>
      <c r="BA13" s="126"/>
      <c r="BB13" s="221" t="s">
        <v>21</v>
      </c>
      <c r="BC13" s="221"/>
      <c r="BD13" s="221"/>
      <c r="BE13" s="221"/>
      <c r="BF13" s="221"/>
      <c r="BG13" s="231" t="str">
        <f>IF(BB14&lt;&gt;0,BB14," ")</f>
        <v> </v>
      </c>
      <c r="BH13" s="232" t="str">
        <f>IF(BB14&lt;&gt;0,BD14," ")</f>
        <v> </v>
      </c>
      <c r="BI13" s="233" t="str">
        <f>IF(BB14&lt;&gt;0,BC14," ")</f>
        <v> </v>
      </c>
      <c r="BJ13" s="236" t="str">
        <f>IF(BB14&lt;&gt;0,IF(BH13&lt;BI13,"3",IF(BH13&gt;BI13,"0","1")),"")</f>
        <v/>
      </c>
      <c r="BK13" s="232" t="str">
        <f>IF(BB14&lt;&gt;0,BF14," ")</f>
        <v> </v>
      </c>
      <c r="BL13" s="231" t="str">
        <f>IF(BB15&lt;&gt;0,BB15," ")</f>
        <v> </v>
      </c>
      <c r="BM13" s="232" t="str">
        <f>IF(BB15&lt;&gt;0,BD15," ")</f>
        <v> </v>
      </c>
      <c r="BN13" s="232" t="str">
        <f>IF(BB15&lt;&gt;0,BC15," ")</f>
        <v> </v>
      </c>
      <c r="BO13" s="236" t="str">
        <f>IF(BB15&lt;&gt;0,IF(BM13&lt;BN13,"3",IF(BM13&gt;BN13,"0","1")),"")</f>
        <v/>
      </c>
      <c r="BP13" s="232" t="str">
        <f>IF(BB15&lt;&gt;0,BF15," ")</f>
        <v> </v>
      </c>
      <c r="BQ13" s="243" t="str">
        <f>IF(BB16&lt;&gt;0,BB16," ")</f>
        <v> </v>
      </c>
      <c r="BR13" s="242" t="str">
        <f>IF(BB16&lt;&gt;0,BD16," ")</f>
        <v> </v>
      </c>
      <c r="BS13" s="242" t="str">
        <f>IF(BB16&lt;&gt;0,BC16," ")</f>
        <v> </v>
      </c>
      <c r="BT13" s="236" t="str">
        <f>IF(BB16&lt;&gt;0,IF(BR13&lt;BS13,"3",IF(BR13&gt;BS13,"0","1")),"")</f>
        <v/>
      </c>
      <c r="BU13" s="242" t="str">
        <f>IF(BB16&lt;&gt;0,BF16," ")</f>
        <v> </v>
      </c>
      <c r="BV13" s="243" t="str">
        <f>IF(BB17&lt;&gt;0,BB17," ")</f>
        <v> </v>
      </c>
      <c r="BW13" s="242" t="str">
        <f>IF(BB17&lt;&gt;0,BD17," ")</f>
        <v> </v>
      </c>
      <c r="BX13" s="242" t="str">
        <f>IF(BB17&lt;&gt;0,BC17," ")</f>
        <v> </v>
      </c>
      <c r="BY13" s="236" t="str">
        <f>IF(BB17&lt;&gt;0,IF(BW13&lt;BX13,"3",IF(BW13&gt;BX13,"0","1")),"")</f>
        <v/>
      </c>
      <c r="BZ13" s="242" t="str">
        <f>IF(BB17&lt;&gt;0,BF17," ")</f>
        <v> </v>
      </c>
      <c r="CA13" s="243" t="str">
        <f>IF(BB18&lt;&gt;0,BB18," ")</f>
        <v> </v>
      </c>
      <c r="CB13" s="242" t="str">
        <f>IF(BB18&lt;&gt;0,BD18," ")</f>
        <v> </v>
      </c>
      <c r="CC13" s="242" t="str">
        <f>IF(BB18&lt;&gt;0,BC18," ")</f>
        <v> </v>
      </c>
      <c r="CD13" s="236" t="str">
        <f>IF(BB18&lt;&gt;0,IF(CB13&lt;CC13,"3",IF(CB13&gt;CC13,"0","1"))," ")</f>
        <v> </v>
      </c>
      <c r="CE13" s="242" t="str">
        <f>IF(BB18&lt;&gt;0,BF18," ")</f>
        <v> </v>
      </c>
    </row>
    <row r="14" spans="1:83">
      <c r="A14" s="219"/>
      <c r="B14" s="225">
        <v>12</v>
      </c>
      <c r="C14" s="212"/>
      <c r="D14" s="124"/>
      <c r="E14" s="125"/>
      <c r="F14" s="125"/>
      <c r="G14" s="126" t="str">
        <f t="shared" si="0"/>
        <v/>
      </c>
      <c r="H14" s="126"/>
      <c r="I14" s="124"/>
      <c r="J14" s="125"/>
      <c r="K14" s="125"/>
      <c r="L14" s="126" t="str">
        <f t="shared" si="1"/>
        <v/>
      </c>
      <c r="M14" s="126"/>
      <c r="N14" s="124"/>
      <c r="O14" s="125"/>
      <c r="P14" s="125"/>
      <c r="Q14" s="126" t="str">
        <f t="shared" si="2"/>
        <v/>
      </c>
      <c r="R14" s="126"/>
      <c r="S14" s="124"/>
      <c r="T14" s="125"/>
      <c r="U14" s="125"/>
      <c r="V14" s="126" t="str">
        <f t="shared" si="3"/>
        <v/>
      </c>
      <c r="W14" s="126"/>
      <c r="X14" s="124"/>
      <c r="Y14" s="125"/>
      <c r="Z14" s="125"/>
      <c r="AA14" s="126" t="str">
        <f t="shared" si="4"/>
        <v/>
      </c>
      <c r="AB14" s="126"/>
      <c r="AC14" s="124"/>
      <c r="AD14" s="125"/>
      <c r="AE14" s="125"/>
      <c r="AF14" s="126" t="str">
        <f t="shared" si="5"/>
        <v/>
      </c>
      <c r="AG14" s="126"/>
      <c r="AH14" s="124"/>
      <c r="AI14" s="125"/>
      <c r="AJ14" s="125"/>
      <c r="AK14" s="126" t="str">
        <f t="shared" si="6"/>
        <v/>
      </c>
      <c r="AL14" s="126"/>
      <c r="AM14" s="124"/>
      <c r="AN14" s="125"/>
      <c r="AO14" s="125"/>
      <c r="AP14" s="126" t="str">
        <f t="shared" si="7"/>
        <v/>
      </c>
      <c r="AQ14" s="126"/>
      <c r="AR14" s="124"/>
      <c r="AS14" s="125"/>
      <c r="AT14" s="125"/>
      <c r="AU14" s="126" t="str">
        <f t="shared" si="8"/>
        <v/>
      </c>
      <c r="AV14" s="126"/>
      <c r="AW14" s="124"/>
      <c r="AX14" s="125"/>
      <c r="AY14" s="125"/>
      <c r="AZ14" s="126" t="str">
        <f t="shared" ref="AZ14:AZ18" si="9">IF(AW14&lt;&gt;0,IF(AX14&lt;AY14,"3",IF(AX14&gt;AY14,"0","1")),"")</f>
        <v/>
      </c>
      <c r="BA14" s="126"/>
      <c r="BB14" s="124"/>
      <c r="BC14" s="125"/>
      <c r="BD14" s="125"/>
      <c r="BE14" s="126" t="str">
        <f>IF(BB14&lt;&gt;0,IF(BC14&lt;BD14,"3",IF(BC14&gt;BD14,"0","1")),"")</f>
        <v/>
      </c>
      <c r="BF14" s="126"/>
      <c r="BG14" s="221" t="s">
        <v>21</v>
      </c>
      <c r="BH14" s="221"/>
      <c r="BI14" s="221"/>
      <c r="BJ14" s="221"/>
      <c r="BK14" s="221"/>
      <c r="BL14" s="231" t="str">
        <f>IF(BG15&lt;&gt;0,BG15," ")</f>
        <v> </v>
      </c>
      <c r="BM14" s="232" t="str">
        <f>IF(BG15&lt;&gt;0,BI15," ")</f>
        <v> </v>
      </c>
      <c r="BN14" s="233" t="str">
        <f>IF(BG15&lt;&gt;0,BH15," ")</f>
        <v> </v>
      </c>
      <c r="BO14" s="236" t="str">
        <f>IF(BG15&lt;&gt;0,IF(BM14&lt;BN14,"3",IF(BM14&gt;BN14,"0","1")),"")</f>
        <v/>
      </c>
      <c r="BP14" s="232" t="str">
        <f>IF(BG15&lt;&gt;0,BK15," ")</f>
        <v> </v>
      </c>
      <c r="BQ14" s="243" t="str">
        <f>IF(BG16&lt;&gt;0,BG16," ")</f>
        <v> </v>
      </c>
      <c r="BR14" s="242" t="str">
        <f>IF(BG16&lt;&gt;0,BI16," ")</f>
        <v> </v>
      </c>
      <c r="BS14" s="242" t="str">
        <f>IF(BG16&lt;&gt;0,BH16," ")</f>
        <v> </v>
      </c>
      <c r="BT14" s="236" t="str">
        <f>IF(BG16&lt;&gt;0,IF(BR14&lt;BS14,"3",IF(BR14&gt;BS14,"0","1")),"")</f>
        <v/>
      </c>
      <c r="BU14" s="242" t="str">
        <f>IF(BG16&lt;&gt;0,BK16," ")</f>
        <v> </v>
      </c>
      <c r="BV14" s="243" t="str">
        <f>IF(BG17&lt;&gt;0,BG17," ")</f>
        <v> </v>
      </c>
      <c r="BW14" s="242" t="str">
        <f>IF(BG17&lt;&gt;0,BI17," ")</f>
        <v> </v>
      </c>
      <c r="BX14" s="242" t="str">
        <f>IF(BG17&lt;&gt;0,BH17," ")</f>
        <v> </v>
      </c>
      <c r="BY14" s="236" t="str">
        <f>IF(BG17&lt;&gt;0,IF(BW14&lt;BX14,"3",IF(BW14&gt;BX14,"0","1")),"")</f>
        <v/>
      </c>
      <c r="BZ14" s="242" t="str">
        <f>IF(BG17&lt;&gt;0,BK17," ")</f>
        <v> </v>
      </c>
      <c r="CA14" s="243" t="str">
        <f>IF(BG18&lt;&gt;0,BG18," ")</f>
        <v> </v>
      </c>
      <c r="CB14" s="242" t="str">
        <f>IF(BG18&lt;&gt;0,BI18," ")</f>
        <v> </v>
      </c>
      <c r="CC14" s="242" t="str">
        <f>IF(BG18&lt;&gt;0,BH18," ")</f>
        <v> </v>
      </c>
      <c r="CD14" s="236" t="str">
        <f>IF(BG18&lt;&gt;0,IF(CB14&lt;CC14,"3",IF(CB14&gt;CC14,"0","1"))," ")</f>
        <v> </v>
      </c>
      <c r="CE14" s="242" t="str">
        <f>IF(BG18&lt;&gt;0,BK18," ")</f>
        <v> </v>
      </c>
    </row>
    <row r="15" spans="1:83">
      <c r="A15" s="219"/>
      <c r="B15" s="225">
        <v>13</v>
      </c>
      <c r="C15" s="212"/>
      <c r="D15" s="124"/>
      <c r="E15" s="125"/>
      <c r="F15" s="125"/>
      <c r="G15" s="126" t="str">
        <f t="shared" si="0"/>
        <v/>
      </c>
      <c r="H15" s="126"/>
      <c r="I15" s="124"/>
      <c r="J15" s="125"/>
      <c r="K15" s="125"/>
      <c r="L15" s="126" t="str">
        <f t="shared" si="1"/>
        <v/>
      </c>
      <c r="M15" s="126"/>
      <c r="N15" s="124"/>
      <c r="O15" s="125"/>
      <c r="P15" s="125"/>
      <c r="Q15" s="126" t="str">
        <f t="shared" si="2"/>
        <v/>
      </c>
      <c r="R15" s="126"/>
      <c r="S15" s="124"/>
      <c r="T15" s="125"/>
      <c r="U15" s="125"/>
      <c r="V15" s="126" t="str">
        <f t="shared" si="3"/>
        <v/>
      </c>
      <c r="W15" s="126"/>
      <c r="X15" s="124"/>
      <c r="Y15" s="125"/>
      <c r="Z15" s="125"/>
      <c r="AA15" s="126" t="str">
        <f t="shared" si="4"/>
        <v/>
      </c>
      <c r="AB15" s="126"/>
      <c r="AC15" s="124"/>
      <c r="AD15" s="125"/>
      <c r="AE15" s="125"/>
      <c r="AF15" s="126" t="str">
        <f t="shared" si="5"/>
        <v/>
      </c>
      <c r="AG15" s="126"/>
      <c r="AH15" s="124"/>
      <c r="AI15" s="125"/>
      <c r="AJ15" s="125"/>
      <c r="AK15" s="126" t="str">
        <f t="shared" si="6"/>
        <v/>
      </c>
      <c r="AL15" s="126"/>
      <c r="AM15" s="124"/>
      <c r="AN15" s="125"/>
      <c r="AO15" s="125"/>
      <c r="AP15" s="126" t="str">
        <f t="shared" si="7"/>
        <v/>
      </c>
      <c r="AQ15" s="126"/>
      <c r="AR15" s="124"/>
      <c r="AS15" s="125"/>
      <c r="AT15" s="125"/>
      <c r="AU15" s="126" t="str">
        <f t="shared" si="8"/>
        <v/>
      </c>
      <c r="AV15" s="126"/>
      <c r="AW15" s="124"/>
      <c r="AX15" s="125"/>
      <c r="AY15" s="125"/>
      <c r="AZ15" s="126" t="str">
        <f t="shared" si="9"/>
        <v/>
      </c>
      <c r="BA15" s="126"/>
      <c r="BB15" s="124"/>
      <c r="BC15" s="125"/>
      <c r="BD15" s="125"/>
      <c r="BE15" s="126" t="str">
        <f t="shared" ref="BE15:BE18" si="10">IF(BB15&lt;&gt;0,IF(BC15&lt;BD15,"3",IF(BC15&gt;BD15,"0","1")),"")</f>
        <v/>
      </c>
      <c r="BF15" s="126"/>
      <c r="BG15" s="124"/>
      <c r="BH15" s="125"/>
      <c r="BI15" s="125"/>
      <c r="BJ15" s="126" t="str">
        <f>IF(BG15&lt;&gt;0,IF(BH15&lt;BI15,"3",IF(BH15&gt;BI15,"0","1")),"")</f>
        <v/>
      </c>
      <c r="BK15" s="126"/>
      <c r="BL15" s="221" t="s">
        <v>21</v>
      </c>
      <c r="BM15" s="221"/>
      <c r="BN15" s="221"/>
      <c r="BO15" s="221"/>
      <c r="BP15" s="221"/>
      <c r="BQ15" s="243" t="str">
        <f>IF(BL16&lt;&gt;0,BL16," ")</f>
        <v> </v>
      </c>
      <c r="BR15" s="242" t="str">
        <f>IF(BL16&lt;&gt;0,BN16," ")</f>
        <v> </v>
      </c>
      <c r="BS15" s="242" t="str">
        <f>IF(BL16&lt;&gt;0,BM16," ")</f>
        <v> </v>
      </c>
      <c r="BT15" s="236" t="str">
        <f>IF(BL16&lt;&gt;0,IF(BR15&lt;BS15,"3",IF(BR15&gt;BS15,"0","1")),"")</f>
        <v/>
      </c>
      <c r="BU15" s="242" t="str">
        <f>IF(BL16&lt;&gt;0,BP16," ")</f>
        <v> </v>
      </c>
      <c r="BV15" s="243" t="str">
        <f>IF(BL17&lt;&gt;0,BL17," ")</f>
        <v> </v>
      </c>
      <c r="BW15" s="242" t="str">
        <f>IF(BL17&lt;&gt;0,BN17," ")</f>
        <v> </v>
      </c>
      <c r="BX15" s="242" t="str">
        <f>IF(BL17&lt;&gt;0,BM17," ")</f>
        <v> </v>
      </c>
      <c r="BY15" s="236" t="str">
        <f>IF(BL17&lt;&gt;0,IF(BW15&lt;BX15,"3",IF(BW15&gt;BX15,"0","1")),"")</f>
        <v/>
      </c>
      <c r="BZ15" s="242" t="str">
        <f>IF(BL17&lt;&gt;0,BP17," ")</f>
        <v> </v>
      </c>
      <c r="CA15" s="243" t="str">
        <f>IF(BL18&lt;&gt;0,BL18," ")</f>
        <v> </v>
      </c>
      <c r="CB15" s="242" t="str">
        <f>IF(BL18&lt;&gt;0,BN18," ")</f>
        <v> </v>
      </c>
      <c r="CC15" s="242" t="str">
        <f>IF(BL18&lt;&gt;0,BM18," ")</f>
        <v> </v>
      </c>
      <c r="CD15" s="236" t="str">
        <f>IF(BL18&lt;&gt;0,IF(CB15&lt;CC15,"3",IF(CB15&gt;CC15,"0","1"))," ")</f>
        <v> </v>
      </c>
      <c r="CE15" s="242" t="str">
        <f>IF(BL18&lt;&gt;0,BP18," ")</f>
        <v> </v>
      </c>
    </row>
    <row r="16" spans="1:83">
      <c r="A16" s="219"/>
      <c r="B16" s="225">
        <v>14</v>
      </c>
      <c r="C16" s="225"/>
      <c r="D16" s="124"/>
      <c r="E16" s="125"/>
      <c r="F16" s="125"/>
      <c r="G16" s="126" t="str">
        <f t="shared" si="0"/>
        <v/>
      </c>
      <c r="H16" s="126"/>
      <c r="I16" s="124"/>
      <c r="J16" s="125"/>
      <c r="K16" s="125"/>
      <c r="L16" s="126" t="str">
        <f t="shared" si="1"/>
        <v/>
      </c>
      <c r="M16" s="126"/>
      <c r="N16" s="124"/>
      <c r="O16" s="125"/>
      <c r="P16" s="125"/>
      <c r="Q16" s="126" t="str">
        <f t="shared" si="2"/>
        <v/>
      </c>
      <c r="R16" s="126"/>
      <c r="S16" s="124"/>
      <c r="T16" s="125"/>
      <c r="U16" s="125"/>
      <c r="V16" s="126" t="str">
        <f t="shared" si="3"/>
        <v/>
      </c>
      <c r="W16" s="126"/>
      <c r="X16" s="124"/>
      <c r="Y16" s="125"/>
      <c r="Z16" s="125"/>
      <c r="AA16" s="126" t="str">
        <f t="shared" si="4"/>
        <v/>
      </c>
      <c r="AB16" s="126"/>
      <c r="AC16" s="124"/>
      <c r="AD16" s="125"/>
      <c r="AE16" s="125"/>
      <c r="AF16" s="126" t="str">
        <f t="shared" si="5"/>
        <v/>
      </c>
      <c r="AG16" s="126"/>
      <c r="AH16" s="124"/>
      <c r="AI16" s="125"/>
      <c r="AJ16" s="125"/>
      <c r="AK16" s="126" t="str">
        <f t="shared" si="6"/>
        <v/>
      </c>
      <c r="AL16" s="126"/>
      <c r="AM16" s="124"/>
      <c r="AN16" s="125"/>
      <c r="AO16" s="125"/>
      <c r="AP16" s="126" t="str">
        <f t="shared" si="7"/>
        <v/>
      </c>
      <c r="AQ16" s="126"/>
      <c r="AR16" s="124"/>
      <c r="AS16" s="125"/>
      <c r="AT16" s="125"/>
      <c r="AU16" s="126" t="str">
        <f t="shared" si="8"/>
        <v/>
      </c>
      <c r="AV16" s="126"/>
      <c r="AW16" s="124"/>
      <c r="AX16" s="125"/>
      <c r="AY16" s="125"/>
      <c r="AZ16" s="126" t="str">
        <f t="shared" si="9"/>
        <v/>
      </c>
      <c r="BA16" s="126"/>
      <c r="BB16" s="124"/>
      <c r="BC16" s="125"/>
      <c r="BD16" s="125"/>
      <c r="BE16" s="126" t="str">
        <f t="shared" si="10"/>
        <v/>
      </c>
      <c r="BF16" s="126"/>
      <c r="BG16" s="124"/>
      <c r="BH16" s="125"/>
      <c r="BI16" s="125"/>
      <c r="BJ16" s="126" t="str">
        <f t="shared" ref="BJ16:BJ18" si="11">IF(BG16&lt;&gt;0,IF(BH16&lt;BI16,"3",IF(BH16&gt;BI16,"0","1")),"")</f>
        <v/>
      </c>
      <c r="BK16" s="126"/>
      <c r="BL16" s="124"/>
      <c r="BM16" s="125"/>
      <c r="BN16" s="125"/>
      <c r="BO16" s="126" t="str">
        <f>IF(BL16&lt;&gt;0,IF(BM16&lt;BN16,"3",IF(BM16&gt;BN16,"0","1")),"")</f>
        <v/>
      </c>
      <c r="BP16" s="126"/>
      <c r="BQ16" s="244" t="s">
        <v>21</v>
      </c>
      <c r="BR16" s="244"/>
      <c r="BS16" s="244"/>
      <c r="BT16" s="244"/>
      <c r="BU16" s="244"/>
      <c r="BV16" s="243" t="str">
        <f>IF(BQ17&lt;&gt;0,BQ17," ")</f>
        <v> </v>
      </c>
      <c r="BW16" s="242" t="str">
        <f>IF(BQ17&lt;&gt;0,BS17," ")</f>
        <v> </v>
      </c>
      <c r="BX16" s="242" t="str">
        <f>IF(BQ17&lt;&gt;0,BR17," ")</f>
        <v> </v>
      </c>
      <c r="BY16" s="236" t="str">
        <f>IF(BQ17&lt;&gt;0,IF(BW16&lt;BX16,"3",IF(BW16&gt;BX16,"0","1")),"")</f>
        <v/>
      </c>
      <c r="BZ16" s="242" t="str">
        <f>IF(BQ17&lt;&gt;0,BU17," ")</f>
        <v> </v>
      </c>
      <c r="CA16" s="243" t="str">
        <f>IF(BQ18&lt;&gt;0,BQ18," ")</f>
        <v> </v>
      </c>
      <c r="CB16" s="242" t="str">
        <f>IF(BQ18&lt;&gt;0,BS18," ")</f>
        <v> </v>
      </c>
      <c r="CC16" s="242" t="str">
        <f>IF(BQ18&lt;&gt;0,BR18," ")</f>
        <v> </v>
      </c>
      <c r="CD16" s="236" t="str">
        <f>IF(BQ18&lt;&gt;0,IF(CB16&lt;CC16,"3",IF(CB16&gt;CC16,"0","1"))," ")</f>
        <v> </v>
      </c>
      <c r="CE16" s="242" t="str">
        <f>IF(BQ18&lt;&gt;0,BU18," ")</f>
        <v> </v>
      </c>
    </row>
    <row r="17" spans="1:83">
      <c r="A17" s="219"/>
      <c r="B17" s="225">
        <v>15</v>
      </c>
      <c r="C17" s="225"/>
      <c r="D17" s="124"/>
      <c r="E17" s="125"/>
      <c r="F17" s="125"/>
      <c r="G17" s="126" t="str">
        <f t="shared" si="0"/>
        <v/>
      </c>
      <c r="H17" s="126"/>
      <c r="I17" s="124"/>
      <c r="J17" s="125"/>
      <c r="K17" s="125"/>
      <c r="L17" s="126" t="str">
        <f t="shared" si="1"/>
        <v/>
      </c>
      <c r="M17" s="126"/>
      <c r="N17" s="124"/>
      <c r="O17" s="125"/>
      <c r="P17" s="125"/>
      <c r="Q17" s="126" t="str">
        <f t="shared" si="2"/>
        <v/>
      </c>
      <c r="R17" s="126"/>
      <c r="S17" s="124"/>
      <c r="T17" s="125"/>
      <c r="U17" s="125"/>
      <c r="V17" s="126" t="str">
        <f t="shared" si="3"/>
        <v/>
      </c>
      <c r="W17" s="126"/>
      <c r="X17" s="124"/>
      <c r="Y17" s="125"/>
      <c r="Z17" s="125"/>
      <c r="AA17" s="126" t="str">
        <f t="shared" si="4"/>
        <v/>
      </c>
      <c r="AB17" s="126"/>
      <c r="AC17" s="124"/>
      <c r="AD17" s="125"/>
      <c r="AE17" s="125"/>
      <c r="AF17" s="126" t="str">
        <f t="shared" si="5"/>
        <v/>
      </c>
      <c r="AG17" s="126"/>
      <c r="AH17" s="124"/>
      <c r="AI17" s="125"/>
      <c r="AJ17" s="125"/>
      <c r="AK17" s="126" t="str">
        <f t="shared" si="6"/>
        <v/>
      </c>
      <c r="AL17" s="126"/>
      <c r="AM17" s="124"/>
      <c r="AN17" s="125"/>
      <c r="AO17" s="125"/>
      <c r="AP17" s="126" t="str">
        <f t="shared" si="7"/>
        <v/>
      </c>
      <c r="AQ17" s="126"/>
      <c r="AR17" s="124"/>
      <c r="AS17" s="125"/>
      <c r="AT17" s="125"/>
      <c r="AU17" s="126" t="str">
        <f t="shared" si="8"/>
        <v/>
      </c>
      <c r="AV17" s="126"/>
      <c r="AW17" s="124"/>
      <c r="AX17" s="125"/>
      <c r="AY17" s="125"/>
      <c r="AZ17" s="126" t="str">
        <f t="shared" si="9"/>
        <v/>
      </c>
      <c r="BA17" s="126"/>
      <c r="BB17" s="124"/>
      <c r="BC17" s="125"/>
      <c r="BD17" s="125"/>
      <c r="BE17" s="126" t="str">
        <f t="shared" si="10"/>
        <v/>
      </c>
      <c r="BF17" s="126"/>
      <c r="BG17" s="124"/>
      <c r="BH17" s="125"/>
      <c r="BI17" s="125"/>
      <c r="BJ17" s="126" t="str">
        <f t="shared" si="11"/>
        <v/>
      </c>
      <c r="BK17" s="126"/>
      <c r="BL17" s="124"/>
      <c r="BM17" s="125"/>
      <c r="BN17" s="125"/>
      <c r="BO17" s="126" t="str">
        <f t="shared" ref="BO17:BO18" si="12">IF(BL17&lt;&gt;0,IF(BM17&lt;BN17,"3",IF(BM17&gt;BN17,"0","1")),"")</f>
        <v/>
      </c>
      <c r="BP17" s="126"/>
      <c r="BQ17" s="245"/>
      <c r="BR17" s="246"/>
      <c r="BS17" s="246"/>
      <c r="BT17" s="126" t="str">
        <f>IF(BQ17&lt;&gt;0,IF(BR17&lt;BS17,"3",IF(BR17&gt;BS17,"0","1")),"")</f>
        <v/>
      </c>
      <c r="BU17" s="246"/>
      <c r="BV17" s="244" t="s">
        <v>21</v>
      </c>
      <c r="BW17" s="244"/>
      <c r="BX17" s="244"/>
      <c r="BY17" s="244"/>
      <c r="BZ17" s="244"/>
      <c r="CA17" s="243" t="str">
        <f>IF(BV18&lt;&gt;0,BV18," ")</f>
        <v> </v>
      </c>
      <c r="CB17" s="242" t="str">
        <f>IF(BV18&lt;&gt;0,BX18," ")</f>
        <v> </v>
      </c>
      <c r="CC17" s="242" t="str">
        <f>IF(BV18&lt;&gt;0,BW18," ")</f>
        <v> </v>
      </c>
      <c r="CD17" s="236" t="str">
        <f>IF(BV18&lt;&gt;0,IF(CB17&lt;CC17,"3",IF(CB17&gt;CC17,"0","1"))," ")</f>
        <v> </v>
      </c>
      <c r="CE17" s="242" t="str">
        <f>IF(BV18&lt;&gt;0,BZ18," ")</f>
        <v> </v>
      </c>
    </row>
    <row r="18" spans="1:83">
      <c r="A18" s="219"/>
      <c r="B18" s="225">
        <v>16</v>
      </c>
      <c r="C18" s="225"/>
      <c r="D18" s="226"/>
      <c r="E18" s="126"/>
      <c r="F18" s="126"/>
      <c r="G18" s="126" t="str">
        <f t="shared" si="0"/>
        <v/>
      </c>
      <c r="H18" s="126"/>
      <c r="I18" s="226"/>
      <c r="J18" s="126"/>
      <c r="K18" s="125"/>
      <c r="L18" s="126" t="str">
        <f t="shared" si="1"/>
        <v/>
      </c>
      <c r="M18" s="126"/>
      <c r="N18" s="226"/>
      <c r="O18" s="126"/>
      <c r="P18" s="125"/>
      <c r="Q18" s="126" t="str">
        <f t="shared" si="2"/>
        <v/>
      </c>
      <c r="R18" s="126"/>
      <c r="S18" s="226"/>
      <c r="T18" s="126"/>
      <c r="U18" s="126"/>
      <c r="V18" s="126" t="str">
        <f t="shared" si="3"/>
        <v/>
      </c>
      <c r="W18" s="126"/>
      <c r="X18" s="226"/>
      <c r="Y18" s="126"/>
      <c r="Z18" s="126"/>
      <c r="AA18" s="126" t="str">
        <f t="shared" si="4"/>
        <v/>
      </c>
      <c r="AB18" s="126"/>
      <c r="AC18" s="226"/>
      <c r="AD18" s="126"/>
      <c r="AE18" s="125"/>
      <c r="AF18" s="126" t="str">
        <f t="shared" si="5"/>
        <v/>
      </c>
      <c r="AG18" s="126"/>
      <c r="AH18" s="226"/>
      <c r="AI18" s="126"/>
      <c r="AJ18" s="126"/>
      <c r="AK18" s="126" t="str">
        <f t="shared" si="6"/>
        <v/>
      </c>
      <c r="AL18" s="126"/>
      <c r="AM18" s="226"/>
      <c r="AN18" s="126"/>
      <c r="AO18" s="125"/>
      <c r="AP18" s="126" t="str">
        <f t="shared" si="7"/>
        <v/>
      </c>
      <c r="AQ18" s="126"/>
      <c r="AR18" s="226"/>
      <c r="AS18" s="126"/>
      <c r="AT18" s="126"/>
      <c r="AU18" s="126" t="str">
        <f t="shared" si="8"/>
        <v/>
      </c>
      <c r="AV18" s="126"/>
      <c r="AW18" s="226"/>
      <c r="AX18" s="126"/>
      <c r="AY18" s="125"/>
      <c r="AZ18" s="126" t="str">
        <f t="shared" si="9"/>
        <v/>
      </c>
      <c r="BA18" s="126"/>
      <c r="BB18" s="226"/>
      <c r="BC18" s="126"/>
      <c r="BD18" s="125"/>
      <c r="BE18" s="126" t="str">
        <f t="shared" si="10"/>
        <v/>
      </c>
      <c r="BF18" s="126"/>
      <c r="BG18" s="226"/>
      <c r="BH18" s="126"/>
      <c r="BI18" s="126"/>
      <c r="BJ18" s="126" t="str">
        <f t="shared" si="11"/>
        <v/>
      </c>
      <c r="BK18" s="126"/>
      <c r="BL18" s="226"/>
      <c r="BM18" s="126"/>
      <c r="BN18" s="126"/>
      <c r="BO18" s="126" t="str">
        <f t="shared" si="12"/>
        <v/>
      </c>
      <c r="BP18" s="126"/>
      <c r="BQ18" s="245"/>
      <c r="BR18" s="246"/>
      <c r="BS18" s="246"/>
      <c r="BT18" s="126" t="str">
        <f>IF(BQ18&lt;&gt;0,IF(BR18&lt;BS18,"3",IF(BR18&gt;BS18,"0","1")),"")</f>
        <v/>
      </c>
      <c r="BU18" s="246"/>
      <c r="BV18" s="245"/>
      <c r="BW18" s="246"/>
      <c r="BX18" s="246"/>
      <c r="BY18" s="126" t="str">
        <f>IF(BV18&lt;&gt;0,IF(BW18&lt;BX18,"3",IF(BW18&gt;BX18,"0","1")),"")</f>
        <v/>
      </c>
      <c r="BZ18" s="246"/>
      <c r="CA18" s="248" t="s">
        <v>21</v>
      </c>
      <c r="CB18" s="249"/>
      <c r="CC18" s="249"/>
      <c r="CD18" s="249"/>
      <c r="CE18" s="250"/>
    </row>
  </sheetData>
  <sheetProtection sheet="1" formatCells="0"/>
  <protectedRanges>
    <protectedRange sqref="G4:H4;G5:G18;H5:H15;L6:L18;M6:M15;Q7:Q18;R7:R15;V8:V18;W8:W15;AA9:AA18;AB9:AB15;AF10:AF18;AG10:AG15;AK11:AK18;AL11:AL15;AP12:AP18;AQ12:AQ15;AU13:AU18;AV13:AV15;AZ14:AZ18;BA14:BA15;BE15:BE18;BF15;BJ16:BJ18;BO16:BO18;BT17:BT18;BY18;L5:M5;Q6:R6;V7:W7;AA8:AB8;AF9:AG9;AK10:AL10;AP11:AQ11;AU12:AV12;AZ13:BA13;BE14:BF14;BJ15:BK15;L3;Q3:Q4;V3:V5;AA3:AA6;AF3:AF7;AK3:AK8;AP3:AP9;AU3:AU10;AZ3:AZ11;BE3:BE12;BJ3:BJ13;BO3:BO14;BT3:BT15;BY3:BY16;CD3:CD17" name="Rango1"/>
    <protectedRange sqref="D18:F18;H18:K18;M18:P18;R18:U18;W18:Z18;AB18:AE18;AG18:AJ18;AL18:AO18;AQ18:AT18;AV18:AY18;BA18:BD18;BF18:BI18;BK18:BN18;BP16:BP18;H16:H17;M16:M17;R16:R17;W16:W17;AB16:AB17;AG16:AG17;AL16:AL17;AQ16:AQ17;AV16:AV17;BA16:BA17;BF16:BF17;BK16:BK17" name="Rango1_1"/>
    <protectedRange sqref="D4:F15" name="Rango1_7"/>
    <protectedRange sqref="D16:F17" name="Rango1_1_5"/>
    <protectedRange sqref="I5:K17" name="Rango1_8"/>
    <protectedRange sqref="N7:P17" name="Rango1_9"/>
    <protectedRange sqref="N6:P6" name="Rango1_2_1"/>
    <protectedRange sqref="S7:U15" name="Rango1_10"/>
    <protectedRange sqref="S16:U17" name="Rango1_1_6"/>
    <protectedRange sqref="X8:Z15" name="Rango1_11"/>
    <protectedRange sqref="X16:Z17" name="Rango1_1_7"/>
    <protectedRange sqref="AC9:AE15" name="Rango1_12"/>
    <protectedRange sqref="AC16:AE17" name="Rango1_1_8"/>
    <protectedRange sqref="AH10:AJ15" name="Rango1_13"/>
    <protectedRange sqref="AH16:AJ17" name="Rango1_1_9"/>
    <protectedRange sqref="AM11:AO15" name="Rango1_14"/>
    <protectedRange sqref="AM16:AO17" name="Rango1_1_10"/>
    <protectedRange sqref="AR12:AT15" name="Rango1_15"/>
    <protectedRange sqref="AR16:AT17" name="Rango1_1_11"/>
    <protectedRange sqref="AW13:AY15" name="Rango1_16"/>
    <protectedRange sqref="AW16:AY17" name="Rango1_1_12"/>
    <protectedRange sqref="BB14:BD15" name="Rango1_17"/>
    <protectedRange sqref="BB16:BD17" name="Rango1_1_13"/>
    <protectedRange sqref="BG15:BI15" name="Rango1_18"/>
    <protectedRange sqref="BG16:BI17" name="Rango1_1_14"/>
    <protectedRange sqref="BL16:BN17" name="Rango1_1_15"/>
    <protectedRange sqref="C3:C15" name="Rango1_22"/>
    <protectedRange sqref="C16:C18" name="Rango1_1_1_1"/>
  </protectedRanges>
  <mergeCells count="51">
    <mergeCell ref="D1:H1"/>
    <mergeCell ref="I1:M1"/>
    <mergeCell ref="N1:R1"/>
    <mergeCell ref="S1:W1"/>
    <mergeCell ref="X1:AB1"/>
    <mergeCell ref="AC1:AG1"/>
    <mergeCell ref="AH1:AL1"/>
    <mergeCell ref="AM1:AQ1"/>
    <mergeCell ref="AR1:AV1"/>
    <mergeCell ref="AW1:BA1"/>
    <mergeCell ref="BB1:BF1"/>
    <mergeCell ref="BG1:BK1"/>
    <mergeCell ref="BL1:BP1"/>
    <mergeCell ref="BQ1:BU1"/>
    <mergeCell ref="BV1:BZ1"/>
    <mergeCell ref="CA1:CE1"/>
    <mergeCell ref="E2:F2"/>
    <mergeCell ref="J2:K2"/>
    <mergeCell ref="O2:P2"/>
    <mergeCell ref="T2:U2"/>
    <mergeCell ref="Y2:Z2"/>
    <mergeCell ref="AD2:AE2"/>
    <mergeCell ref="AI2:AJ2"/>
    <mergeCell ref="AN2:AO2"/>
    <mergeCell ref="AS2:AT2"/>
    <mergeCell ref="AX2:AY2"/>
    <mergeCell ref="BC2:BD2"/>
    <mergeCell ref="BH2:BI2"/>
    <mergeCell ref="BM2:BN2"/>
    <mergeCell ref="BR2:BS2"/>
    <mergeCell ref="BW2:BX2"/>
    <mergeCell ref="CB2:CC2"/>
    <mergeCell ref="D3:H3"/>
    <mergeCell ref="I4:M4"/>
    <mergeCell ref="N5:R5"/>
    <mergeCell ref="S6:W6"/>
    <mergeCell ref="X7:AB7"/>
    <mergeCell ref="AC8:AG8"/>
    <mergeCell ref="AH9:AL9"/>
    <mergeCell ref="AM10:AQ10"/>
    <mergeCell ref="AR11:AV11"/>
    <mergeCell ref="AW12:BA12"/>
    <mergeCell ref="BB13:BF13"/>
    <mergeCell ref="BG14:BK14"/>
    <mergeCell ref="BL15:BP15"/>
    <mergeCell ref="BQ16:BU16"/>
    <mergeCell ref="BV17:BZ17"/>
    <mergeCell ref="CA18:CE18"/>
    <mergeCell ref="A1:A2"/>
    <mergeCell ref="B1:B2"/>
    <mergeCell ref="C1:C2"/>
  </mergeCells>
  <conditionalFormatting sqref="U3">
    <cfRule type="notContainsBlanks" dxfId="8" priority="18">
      <formula>LEN(TRIM(U3))&gt;0</formula>
    </cfRule>
  </conditionalFormatting>
  <conditionalFormatting sqref="Z3">
    <cfRule type="notContainsBlanks" dxfId="8" priority="17">
      <formula>LEN(TRIM(Z3))&gt;0</formula>
    </cfRule>
  </conditionalFormatting>
  <conditionalFormatting sqref="AE3">
    <cfRule type="notContainsBlanks" dxfId="8" priority="16">
      <formula>LEN(TRIM(AE3))&gt;0</formula>
    </cfRule>
  </conditionalFormatting>
  <conditionalFormatting sqref="Q3:Q4">
    <cfRule type="notContainsBlanks" dxfId="8" priority="15">
      <formula>LEN(TRIM(Q3))&gt;0</formula>
    </cfRule>
  </conditionalFormatting>
  <conditionalFormatting sqref="V3:V5">
    <cfRule type="notContainsBlanks" dxfId="8" priority="14">
      <formula>LEN(TRIM(V3))&gt;0</formula>
    </cfRule>
  </conditionalFormatting>
  <conditionalFormatting sqref="AA3:AA6">
    <cfRule type="notContainsBlanks" dxfId="8" priority="13">
      <formula>LEN(TRIM(AA3))&gt;0</formula>
    </cfRule>
  </conditionalFormatting>
  <conditionalFormatting sqref="AF3:AF7">
    <cfRule type="notContainsBlanks" dxfId="8" priority="12">
      <formula>LEN(TRIM(AF3))&gt;0</formula>
    </cfRule>
  </conditionalFormatting>
  <conditionalFormatting sqref="AK3:AK8">
    <cfRule type="notContainsBlanks" dxfId="8" priority="11">
      <formula>LEN(TRIM(AK3))&gt;0</formula>
    </cfRule>
  </conditionalFormatting>
  <conditionalFormatting sqref="AP3:AP9">
    <cfRule type="notContainsBlanks" dxfId="8" priority="10">
      <formula>LEN(TRIM(AP3))&gt;0</formula>
    </cfRule>
  </conditionalFormatting>
  <conditionalFormatting sqref="AU3:AU10">
    <cfRule type="notContainsBlanks" dxfId="8" priority="9">
      <formula>LEN(TRIM(AU3))&gt;0</formula>
    </cfRule>
  </conditionalFormatting>
  <conditionalFormatting sqref="AZ3:AZ11">
    <cfRule type="notContainsBlanks" dxfId="8" priority="8">
      <formula>LEN(TRIM(AZ3))&gt;0</formula>
    </cfRule>
  </conditionalFormatting>
  <conditionalFormatting sqref="BE3:BE12">
    <cfRule type="notContainsBlanks" dxfId="8" priority="7">
      <formula>LEN(TRIM(BE3))&gt;0</formula>
    </cfRule>
  </conditionalFormatting>
  <conditionalFormatting sqref="BJ3:BJ13">
    <cfRule type="notContainsBlanks" dxfId="8" priority="6">
      <formula>LEN(TRIM(BJ3))&gt;0</formula>
    </cfRule>
  </conditionalFormatting>
  <conditionalFormatting sqref="BO3:BO14">
    <cfRule type="notContainsBlanks" dxfId="8" priority="5">
      <formula>LEN(TRIM(BO3))&gt;0</formula>
    </cfRule>
  </conditionalFormatting>
  <conditionalFormatting sqref="BT3:BT15">
    <cfRule type="notContainsBlanks" dxfId="8" priority="4">
      <formula>LEN(TRIM(BT3))&gt;0</formula>
    </cfRule>
  </conditionalFormatting>
  <conditionalFormatting sqref="BY3:BY16">
    <cfRule type="notContainsBlanks" dxfId="8" priority="3">
      <formula>LEN(TRIM(BY3))&gt;0</formula>
    </cfRule>
  </conditionalFormatting>
  <conditionalFormatting sqref="CD3:CD17">
    <cfRule type="notContainsBlanks" dxfId="8" priority="2">
      <formula>LEN(TRIM(CD3))&gt;0</formula>
    </cfRule>
  </conditionalFormatting>
  <conditionalFormatting sqref="CA17:CC17;BV16:BX16;BQ15:BS15;BL14:BN14;BG13:BI13;BB12:BD12;AW11:AY11;AR10:AT10;AM9:AO9;AH8:AJ8;AC7:AE7;X6:Z6;S5:U5;N4:P4;D4:H4;D5:G18;H5:M5;H6:L18;M6:R6;M7:Q18;R7:W7;R8:V18;W8:AB8;W9:AA18;AB9:AG9;AB10:AF18;AG10:AL10;AG11:AK18;AL11:AQ11;AL12:AP18;AQ12:AV12;AQ13:AU18;AV13:BA13;AV14:AZ18;BA14:BF14;BA15:BE18;BF15:BK15;BF16:BJ18;BK16:BP16;BK17:BO18;BP17:BU17;BP18:BZ18;I3:P3;R3:U4;W3:Z5;AB3:AE6;AG3:AJ7;AL3:AO8;AQ3:AT9;AV3:AY10;BA3:BD11;BF3:BI12;BK3:BN13;BP3:BS14;BU3:BX15;BZ3:CC16;CE3:CE17">
    <cfRule type="notContainsBlanks" dxfId="8" priority="19">
      <formula>LEN(TRIM(D3))&gt;0</formula>
    </cfRule>
  </conditionalFormatting>
  <conditionalFormatting sqref="D3:CE18">
    <cfRule type="containsText" dxfId="9" priority="1" operator="between" text="W">
      <formula>NOT(ISERROR(SEARCH("W",D3)))</formula>
    </cfRule>
  </conditionalFormatting>
  <conditionalFormatting sqref="I3:P3;R3:T3">
    <cfRule type="notContainsBlanks" dxfId="8" priority="20">
      <formula>LEN(TRIM(I3))&gt;0</formula>
    </cfRule>
  </conditionalFormatting>
  <pageMargins left="0.45" right="0.2" top="0.75" bottom="0.75" header="0.3" footer="0.3"/>
  <pageSetup paperSize="1" orientation="landscape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"/>
  <dimension ref="G3:Q23"/>
  <sheetViews>
    <sheetView showGridLines="0" workbookViewId="0">
      <selection activeCell="A1" sqref="A1"/>
    </sheetView>
  </sheetViews>
  <sheetFormatPr defaultColWidth="11" defaultRowHeight="14.4"/>
  <cols>
    <col min="1" max="6" width="11.4259259259259" style="100"/>
    <col min="7" max="7" width="4.13888888888889" style="100" customWidth="1"/>
    <col min="8" max="8" width="65.712962962963" style="100" customWidth="1"/>
    <col min="9" max="9" width="6.13888888888889" style="100" customWidth="1"/>
    <col min="10" max="10" width="7" style="100" customWidth="1"/>
    <col min="11" max="11" width="6.57407407407407" style="100" customWidth="1"/>
    <col min="12" max="12" width="6.71296296296296" style="100" customWidth="1"/>
    <col min="13" max="13" width="6.85185185185185" style="100" customWidth="1"/>
    <col min="14" max="14" width="7" style="100" customWidth="1"/>
    <col min="15" max="15" width="7.28703703703704" style="101" customWidth="1"/>
    <col min="16" max="16" width="11.1388888888889" style="194" customWidth="1"/>
    <col min="17" max="17" width="9" style="100" customWidth="1"/>
    <col min="18" max="18" width="11.4259259259259" style="100"/>
    <col min="19" max="19" width="4.13888888888889" style="100" customWidth="1"/>
    <col min="20" max="20" width="45.712962962963" style="100" customWidth="1"/>
    <col min="21" max="16384" width="11.4259259259259" style="100"/>
  </cols>
  <sheetData>
    <row r="3" ht="15.15"/>
    <row r="4" ht="18.75" customHeight="1" spans="8:17">
      <c r="H4" s="195" t="s">
        <v>25</v>
      </c>
      <c r="I4" s="197"/>
      <c r="J4" s="197"/>
      <c r="K4" s="197"/>
      <c r="L4" s="197"/>
      <c r="M4" s="197"/>
      <c r="N4" s="197"/>
      <c r="O4" s="197"/>
      <c r="P4" s="197"/>
      <c r="Q4" s="204"/>
    </row>
    <row r="5" ht="15.15" spans="8:17">
      <c r="H5" s="196"/>
      <c r="I5" s="198"/>
      <c r="J5" s="198"/>
      <c r="K5" s="198"/>
      <c r="L5" s="198"/>
      <c r="M5" s="198"/>
      <c r="N5" s="198"/>
      <c r="O5" s="198"/>
      <c r="P5" s="198"/>
      <c r="Q5" s="205"/>
    </row>
    <row r="6" ht="18.75" spans="8:17">
      <c r="H6" s="106" t="s">
        <v>2</v>
      </c>
      <c r="I6" s="199" t="s">
        <v>26</v>
      </c>
      <c r="J6" s="199" t="s">
        <v>27</v>
      </c>
      <c r="K6" s="199" t="s">
        <v>28</v>
      </c>
      <c r="L6" s="199" t="s">
        <v>29</v>
      </c>
      <c r="M6" s="199" t="s">
        <v>30</v>
      </c>
      <c r="N6" s="199" t="s">
        <v>31</v>
      </c>
      <c r="O6" s="199" t="s">
        <v>32</v>
      </c>
      <c r="P6" s="200" t="s">
        <v>33</v>
      </c>
      <c r="Q6" s="199" t="s">
        <v>34</v>
      </c>
    </row>
    <row r="7" ht="18.75" spans="7:17">
      <c r="G7" s="106">
        <v>1</v>
      </c>
      <c r="H7" s="107" t="str">
        <f>IF(A!C6&lt;&gt;0,A!C6," ")</f>
        <v>FAMA MANTENIMIENTO</v>
      </c>
      <c r="I7" s="201">
        <f>COUNTA(A!D6,A!I6,A!N6,A!S7:S18)</f>
        <v>7</v>
      </c>
      <c r="J7" s="201">
        <f>COUNTIF(A!$V$3:$V$18,3)</f>
        <v>7</v>
      </c>
      <c r="K7" s="201">
        <f>COUNTIF(A!$V$3:$V$18,1)</f>
        <v>0</v>
      </c>
      <c r="L7" s="201">
        <f>COUNTIF(A!$V$3:$V$18,0)</f>
        <v>0</v>
      </c>
      <c r="M7" s="202">
        <f>SUM(A!$U$3:$U$18)</f>
        <v>44</v>
      </c>
      <c r="N7" s="202">
        <f>SUM(A!$T$3:$T$18)</f>
        <v>14</v>
      </c>
      <c r="O7" s="110">
        <f t="shared" ref="O7:O22" si="0">M7-N7</f>
        <v>30</v>
      </c>
      <c r="P7" s="203">
        <f t="shared" ref="P7:P22" si="1">IF(N7&lt;&gt;0,N7/I7,"0")</f>
        <v>2</v>
      </c>
      <c r="Q7" s="110">
        <f t="shared" ref="Q7:Q22" si="2">(J7*3)+K7</f>
        <v>21</v>
      </c>
    </row>
    <row r="8" ht="18.75" spans="7:17">
      <c r="G8" s="104">
        <v>2</v>
      </c>
      <c r="H8" s="107" t="str">
        <f>IF(A!C5&lt;&gt;0,A!C5," ")</f>
        <v>DON JUAN BAR</v>
      </c>
      <c r="I8" s="202">
        <f>COUNTA(A!D5,A!I5,A!N6:N18)</f>
        <v>7</v>
      </c>
      <c r="J8" s="201">
        <f>COUNTIF(A!$Q$3:$Q$18,3)</f>
        <v>4</v>
      </c>
      <c r="K8" s="201">
        <f>COUNTIF(A!$Q$3:$Q$18,1)</f>
        <v>1</v>
      </c>
      <c r="L8" s="201">
        <f>COUNTIF(A!$Q$3:$Q$18,0)</f>
        <v>2</v>
      </c>
      <c r="M8" s="202">
        <f>SUM(A!$P$3:$P$18)</f>
        <v>32</v>
      </c>
      <c r="N8" s="202">
        <f>SUM(A!$O$3:$O$18)</f>
        <v>18</v>
      </c>
      <c r="O8" s="110">
        <f t="shared" si="0"/>
        <v>14</v>
      </c>
      <c r="P8" s="203">
        <f t="shared" si="1"/>
        <v>2.57142857142857</v>
      </c>
      <c r="Q8" s="110">
        <f t="shared" si="2"/>
        <v>13</v>
      </c>
    </row>
    <row r="9" ht="18.75" spans="7:17">
      <c r="G9" s="106">
        <v>3</v>
      </c>
      <c r="H9" s="107" t="str">
        <f>IF(A!C4&lt;&gt;0,A!C4," ")</f>
        <v>ALEMANA DE REPUESTOS - ESTRUCTURAS LIVIANAS</v>
      </c>
      <c r="I9" s="202">
        <f>COUNTA(A!D4,A!I5:I18)</f>
        <v>6</v>
      </c>
      <c r="J9" s="201">
        <f>COUNTIF(A!$L$3:$L$18,3)</f>
        <v>4</v>
      </c>
      <c r="K9" s="201">
        <f>COUNTIF(A!$L$3:$L$18,1)</f>
        <v>1</v>
      </c>
      <c r="L9" s="201">
        <f>COUNTIF(A!$L$3:$L$18,0)</f>
        <v>1</v>
      </c>
      <c r="M9" s="202">
        <f>SUM(A!$K$3:$K$18)</f>
        <v>17</v>
      </c>
      <c r="N9" s="202">
        <f>SUM(A!$J$3:$J$18)</f>
        <v>10</v>
      </c>
      <c r="O9" s="110">
        <f t="shared" si="0"/>
        <v>7</v>
      </c>
      <c r="P9" s="203">
        <f t="shared" si="1"/>
        <v>1.66666666666667</v>
      </c>
      <c r="Q9" s="110">
        <f t="shared" si="2"/>
        <v>13</v>
      </c>
    </row>
    <row r="10" ht="18.75" spans="7:17">
      <c r="G10" s="104">
        <v>4</v>
      </c>
      <c r="H10" s="107" t="str">
        <f>IF(A!C9&lt;&gt;0,A!C9," ")</f>
        <v>M Y M - ESPARTANOS</v>
      </c>
      <c r="I10" s="201">
        <f>COUNTA(A!D9,A!I9,A!N9,A!S9,A!X9,A!AC9,A!AH10:AH18)</f>
        <v>6</v>
      </c>
      <c r="J10" s="201">
        <f>COUNTIF(A!$AK$3:$AK$18,3)</f>
        <v>4</v>
      </c>
      <c r="K10" s="201">
        <f>COUNTIF(A!$AK$3:$AK$18,1)</f>
        <v>0</v>
      </c>
      <c r="L10" s="201">
        <f>COUNTIF(A!$AK$3:$AK$18,0)</f>
        <v>2</v>
      </c>
      <c r="M10" s="202">
        <f>SUM(A!$AJ$3:$AJ$18)</f>
        <v>24</v>
      </c>
      <c r="N10" s="202">
        <f>SUM(A!$AI$3:$AI$18)</f>
        <v>19</v>
      </c>
      <c r="O10" s="110">
        <f t="shared" si="0"/>
        <v>5</v>
      </c>
      <c r="P10" s="203">
        <f t="shared" si="1"/>
        <v>3.16666666666667</v>
      </c>
      <c r="Q10" s="110">
        <f t="shared" si="2"/>
        <v>12</v>
      </c>
    </row>
    <row r="11" ht="18.75" spans="7:17">
      <c r="G11" s="106">
        <v>5</v>
      </c>
      <c r="H11" s="107" t="str">
        <f>IF(A!C8&lt;&gt;0,A!C8," ")</f>
        <v>JEVANI F.C</v>
      </c>
      <c r="I11" s="202">
        <f>COUNTA(A!D8,A!I8,A!N8,A!S8,A!X8,A!AC9:AC18)</f>
        <v>7</v>
      </c>
      <c r="J11" s="201">
        <f>COUNTIF(A!$AF$3:$AF$18,3)</f>
        <v>4</v>
      </c>
      <c r="K11" s="201">
        <f>COUNTIF(A!$AF$3:$AF$18,1)</f>
        <v>0</v>
      </c>
      <c r="L11" s="201">
        <f>COUNTIF(A!$AF$3:$AF$18,0)</f>
        <v>3</v>
      </c>
      <c r="M11" s="202">
        <f>SUM(A!$AE$3:$AE$18)</f>
        <v>24</v>
      </c>
      <c r="N11" s="202">
        <f>SUM(A!$AD$3:$AD$18)</f>
        <v>24</v>
      </c>
      <c r="O11" s="110">
        <f t="shared" si="0"/>
        <v>0</v>
      </c>
      <c r="P11" s="203">
        <f t="shared" si="1"/>
        <v>3.42857142857143</v>
      </c>
      <c r="Q11" s="110">
        <f t="shared" si="2"/>
        <v>12</v>
      </c>
    </row>
    <row r="12" ht="18.75" spans="7:17">
      <c r="G12" s="104">
        <v>6</v>
      </c>
      <c r="H12" s="107" t="str">
        <f>IF(A!C3&lt;&gt;0,A!C3," ")</f>
        <v>ABC JURIDICAS S.A.S - EURO REPUESTOS EL BOMBI</v>
      </c>
      <c r="I12" s="201">
        <f>COUNTA(A!D4:D18)</f>
        <v>6</v>
      </c>
      <c r="J12" s="201">
        <f>COUNTIF(A!$G$3:$G$18,3)</f>
        <v>1</v>
      </c>
      <c r="K12" s="201">
        <f>COUNTIF(A!$G$3:$G$18,1)</f>
        <v>2</v>
      </c>
      <c r="L12" s="201">
        <f>COUNTIF(A!$G$3:$G$18,0)</f>
        <v>3</v>
      </c>
      <c r="M12" s="202">
        <f>SUM(A!$F$3:$F$18)</f>
        <v>11</v>
      </c>
      <c r="N12" s="202">
        <f>SUM(A!$E$3:$E$18)</f>
        <v>17</v>
      </c>
      <c r="O12" s="110">
        <f t="shared" si="0"/>
        <v>-6</v>
      </c>
      <c r="P12" s="203">
        <f t="shared" si="1"/>
        <v>2.83333333333333</v>
      </c>
      <c r="Q12" s="110">
        <f t="shared" si="2"/>
        <v>5</v>
      </c>
    </row>
    <row r="13" ht="18.75" spans="7:17">
      <c r="G13" s="106">
        <v>7</v>
      </c>
      <c r="H13" s="107" t="str">
        <f>IF(A!C7&lt;&gt;0,A!C7," ")</f>
        <v>SAO PAULO TIENDA DE ROPA</v>
      </c>
      <c r="I13" s="202">
        <f>COUNTA(A!D7,A!I7,A!N7,A!S7,A!X8:X18)</f>
        <v>6</v>
      </c>
      <c r="J13" s="201">
        <f>COUNTIF(A!$AA$3:$AA$18,3)</f>
        <v>1</v>
      </c>
      <c r="K13" s="201">
        <f>COUNTIF(A!$AA$3:$AA$18,1)</f>
        <v>0</v>
      </c>
      <c r="L13" s="201">
        <f>COUNTIF(A!$AA$3:$AA$18,0)</f>
        <v>5</v>
      </c>
      <c r="M13" s="202">
        <f>SUM(A!$Z$3:$Z$18)</f>
        <v>12</v>
      </c>
      <c r="N13" s="202">
        <f>SUM(A!$Y$3:$Y$18)</f>
        <v>26</v>
      </c>
      <c r="O13" s="110">
        <f t="shared" si="0"/>
        <v>-14</v>
      </c>
      <c r="P13" s="203">
        <f t="shared" si="1"/>
        <v>4.33333333333333</v>
      </c>
      <c r="Q13" s="110">
        <f t="shared" si="2"/>
        <v>3</v>
      </c>
    </row>
    <row r="14" ht="18.75" spans="7:17">
      <c r="G14" s="104">
        <v>8</v>
      </c>
      <c r="H14" s="107" t="str">
        <f>IF(A!C11&lt;&gt;0,A!C11," ")</f>
        <v>POLIFASE INGENIERIA</v>
      </c>
      <c r="I14" s="202">
        <f>COUNTA(A!D11,A!I11,A!N11,A!S11,A!X11,A!AC11,A!AH11,A!AM11,A!AR12:AR18)</f>
        <v>5</v>
      </c>
      <c r="J14" s="201">
        <f>COUNTIF(A!$AU$3:$AU$18,3)</f>
        <v>1</v>
      </c>
      <c r="K14" s="201">
        <f>COUNTIF(A!$AU$3:$AU$18,1)</f>
        <v>0</v>
      </c>
      <c r="L14" s="201">
        <f>COUNTIF(A!$AU$3:$AU$18,0)</f>
        <v>4</v>
      </c>
      <c r="M14" s="202">
        <f>SUM(A!$AT$3:$AT$18)</f>
        <v>7</v>
      </c>
      <c r="N14" s="202">
        <f>SUM(A!$AS$3:$AS$18)</f>
        <v>28</v>
      </c>
      <c r="O14" s="110">
        <f t="shared" si="0"/>
        <v>-21</v>
      </c>
      <c r="P14" s="203">
        <f t="shared" si="1"/>
        <v>5.6</v>
      </c>
      <c r="Q14" s="110">
        <f t="shared" si="2"/>
        <v>3</v>
      </c>
    </row>
    <row r="15" ht="18.75" spans="7:17">
      <c r="G15" s="106">
        <v>9</v>
      </c>
      <c r="H15" s="107" t="str">
        <f>IF(A!C12&lt;&gt;0,A!C12," ")</f>
        <v> </v>
      </c>
      <c r="I15" s="201">
        <f>COUNTA(A!D12,A!I12,A!N12,A!S12,A!X12,A!AC12,A!AH12,A!AM12,A!AR12,A!AW13:AW18)</f>
        <v>0</v>
      </c>
      <c r="J15" s="201">
        <f>COUNTIF(A!$AZ$3:$AZ$18,3)</f>
        <v>0</v>
      </c>
      <c r="K15" s="201">
        <f>COUNTIF(A!$AZ$3:$AZ$18,1)</f>
        <v>0</v>
      </c>
      <c r="L15" s="201">
        <f>COUNTIF(A!$AZ$3:$AZ$18,0)</f>
        <v>0</v>
      </c>
      <c r="M15" s="202">
        <f>SUM(A!$AY$3:$AY$18)</f>
        <v>0</v>
      </c>
      <c r="N15" s="202">
        <f>SUM(A!$AX$3:$AX$18)</f>
        <v>0</v>
      </c>
      <c r="O15" s="110">
        <f t="shared" si="0"/>
        <v>0</v>
      </c>
      <c r="P15" s="203" t="str">
        <f t="shared" si="1"/>
        <v>0</v>
      </c>
      <c r="Q15" s="110">
        <f t="shared" si="2"/>
        <v>0</v>
      </c>
    </row>
    <row r="16" ht="18.75" spans="7:17">
      <c r="G16" s="104">
        <v>10</v>
      </c>
      <c r="H16" s="107" t="str">
        <f>IF(A!C14&lt;&gt;0,A!C14," ")</f>
        <v> </v>
      </c>
      <c r="I16" s="202">
        <f>COUNTA(A!D14,A!I14,A!N14,A!S14,A!X14,A!AC14,A!AH14,A!AM14,A!AR14,A!AW14,A!BB14,A!BG15:BG18)</f>
        <v>0</v>
      </c>
      <c r="J16" s="201">
        <f>COUNTIF(A!$BJ$3:$BJ$18,3)</f>
        <v>0</v>
      </c>
      <c r="K16" s="201">
        <f>COUNTIF(A!$BJ$3:$BJ$18,1)</f>
        <v>0</v>
      </c>
      <c r="L16" s="201">
        <f>COUNTIF(A!$BJ$3:$BJ$18,0)</f>
        <v>0</v>
      </c>
      <c r="M16" s="202">
        <f>SUM(A!$BI$3:$BI$18)</f>
        <v>0</v>
      </c>
      <c r="N16" s="202">
        <f>SUM(A!$BH$3:$BH$18)</f>
        <v>0</v>
      </c>
      <c r="O16" s="110">
        <f t="shared" si="0"/>
        <v>0</v>
      </c>
      <c r="P16" s="203" t="str">
        <f t="shared" si="1"/>
        <v>0</v>
      </c>
      <c r="Q16" s="110">
        <f t="shared" si="2"/>
        <v>0</v>
      </c>
    </row>
    <row r="17" ht="18.75" spans="7:17">
      <c r="G17" s="104">
        <v>11</v>
      </c>
      <c r="H17" s="107" t="str">
        <f>IF(A!C15&lt;&gt;0,A!C15," ")</f>
        <v> </v>
      </c>
      <c r="I17" s="201">
        <f>COUNTA(A!D15,A!I15,A!N15,A!S15,A!X15,A!AC15,A!AH15,A!AM15,A!AR15,A!AW15,A!BB15,A!BG15,A!BL16:BL18)</f>
        <v>0</v>
      </c>
      <c r="J17" s="201">
        <f>COUNTIF(A!$BO$3:$BO$18,3)</f>
        <v>0</v>
      </c>
      <c r="K17" s="201">
        <f>COUNTIF(A!$BO$3:$BO$18,1)</f>
        <v>0</v>
      </c>
      <c r="L17" s="201">
        <f>COUNTIF(A!$BO$3:$BO$18,0)</f>
        <v>0</v>
      </c>
      <c r="M17" s="202">
        <f>SUM(A!$BN$3:$BN$18)</f>
        <v>0</v>
      </c>
      <c r="N17" s="202">
        <f>SUM(A!$BM$3:$BM$18)</f>
        <v>0</v>
      </c>
      <c r="O17" s="110">
        <f t="shared" si="0"/>
        <v>0</v>
      </c>
      <c r="P17" s="203" t="str">
        <f t="shared" si="1"/>
        <v>0</v>
      </c>
      <c r="Q17" s="110">
        <f t="shared" si="2"/>
        <v>0</v>
      </c>
    </row>
    <row r="18" ht="18.75" spans="7:17">
      <c r="G18" s="104">
        <v>12</v>
      </c>
      <c r="H18" s="107" t="str">
        <f>IF(A!C16&lt;&gt;0,A!C16," ")</f>
        <v> </v>
      </c>
      <c r="I18" s="202">
        <f>COUNTA(A!D16,A!I16,A!N16,A!S16,A!X16,A!AC16,A!AH16,A!AM16,A!AR16,A!AW16,A!BB16,A!BG16,A!BL16,A!BQ17:BQ18)</f>
        <v>0</v>
      </c>
      <c r="J18" s="201">
        <f>COUNTIF(A!$BT$3:$BT$18,3)</f>
        <v>0</v>
      </c>
      <c r="K18" s="201">
        <f>COUNTIF(A!$BT$3:$BT$18,1)</f>
        <v>0</v>
      </c>
      <c r="L18" s="201">
        <f>COUNTIF(A!$BT$3:$BT$18,0)</f>
        <v>0</v>
      </c>
      <c r="M18" s="202">
        <f>SUM(A!$BS$3:$BS$18)</f>
        <v>0</v>
      </c>
      <c r="N18" s="202">
        <f>SUM(A!$BR$3:$BR$18)</f>
        <v>0</v>
      </c>
      <c r="O18" s="110">
        <f t="shared" si="0"/>
        <v>0</v>
      </c>
      <c r="P18" s="203" t="str">
        <f t="shared" si="1"/>
        <v>0</v>
      </c>
      <c r="Q18" s="110">
        <f t="shared" si="2"/>
        <v>0</v>
      </c>
    </row>
    <row r="19" ht="18.75" spans="7:17">
      <c r="G19" s="104">
        <v>13</v>
      </c>
      <c r="H19" s="107" t="str">
        <f>IF(A!C17&lt;&gt;0,A!C17," ")</f>
        <v> </v>
      </c>
      <c r="I19" s="202">
        <f>COUNTA(A!D17,A!I17,A!N17,A!S17,A!X17,A!AC17,A!AH17,A!AM17,A!AR17,A!AW17,A!BB17,A!BG17,A!BL17,A!BQ17,A!BV18)</f>
        <v>0</v>
      </c>
      <c r="J19" s="201">
        <f>COUNTIF(A!$BY$3:$BY$18,3)</f>
        <v>0</v>
      </c>
      <c r="K19" s="201">
        <f>COUNTIF(A!$BY$3:$BY$18,1)</f>
        <v>0</v>
      </c>
      <c r="L19" s="201">
        <f>COUNTIF(A!$BY$3:$BY$18,0)</f>
        <v>0</v>
      </c>
      <c r="M19" s="202">
        <f>SUM(A!$BX$3:$BX$18)</f>
        <v>0</v>
      </c>
      <c r="N19" s="202">
        <f>SUM(A!$BW$3:$BW$18)</f>
        <v>0</v>
      </c>
      <c r="O19" s="110">
        <f t="shared" si="0"/>
        <v>0</v>
      </c>
      <c r="P19" s="203" t="str">
        <f t="shared" si="1"/>
        <v>0</v>
      </c>
      <c r="Q19" s="110">
        <f t="shared" si="2"/>
        <v>0</v>
      </c>
    </row>
    <row r="20" ht="18.75" spans="7:17">
      <c r="G20" s="104">
        <v>14</v>
      </c>
      <c r="H20" s="107" t="str">
        <f>IF(A!C18&lt;&gt;0,A!C18," ")</f>
        <v> </v>
      </c>
      <c r="I20" s="201">
        <f>COUNTA(A!D18,A!I18,A!N18,A!S18,A!X18,A!AC18,A!AH18,A!AM18,A!AR18,A!AW18,A!BB18,A!BG18,A!BL18,A!BQ18,A!BV18)</f>
        <v>0</v>
      </c>
      <c r="J20" s="201">
        <f>COUNTIF(A!$CD$3:$CD$18,3)</f>
        <v>0</v>
      </c>
      <c r="K20" s="201">
        <f>COUNTIF(A!$CD$3:$CD$18,1)</f>
        <v>0</v>
      </c>
      <c r="L20" s="201">
        <f>COUNTIF(A!$CD$3:$CD$18,0)</f>
        <v>0</v>
      </c>
      <c r="M20" s="202">
        <f>SUM(A!$CC$3:$CC$18)</f>
        <v>0</v>
      </c>
      <c r="N20" s="202">
        <f>SUM(A!$CB$3:$CB$18)</f>
        <v>0</v>
      </c>
      <c r="O20" s="110">
        <f t="shared" si="0"/>
        <v>0</v>
      </c>
      <c r="P20" s="203" t="str">
        <f t="shared" si="1"/>
        <v>0</v>
      </c>
      <c r="Q20" s="110">
        <f t="shared" si="2"/>
        <v>0</v>
      </c>
    </row>
    <row r="21" ht="18.75" spans="7:17">
      <c r="G21" s="104">
        <v>15</v>
      </c>
      <c r="H21" s="107" t="str">
        <f>IF(A!C13&lt;&gt;0,A!C13," ")</f>
        <v> </v>
      </c>
      <c r="I21" s="202">
        <f>COUNTA(A!D13,A!I13,A!N13,A!S13,A!X13,A!AC13,A!AH13,A!AM13,A!AR13,A!AW13,A!BB14:BB18)</f>
        <v>0</v>
      </c>
      <c r="J21" s="201">
        <f>COUNTIF(A!$BE$3:$BE$18,3)</f>
        <v>0</v>
      </c>
      <c r="K21" s="201">
        <f>COUNTIF(A!$BE$3:$BE$18,1)</f>
        <v>0</v>
      </c>
      <c r="L21" s="201">
        <f>COUNTIF(A!$BE$3:$BE$18,0)</f>
        <v>0</v>
      </c>
      <c r="M21" s="202">
        <f>SUM(A!$BD$3:$BD$18)</f>
        <v>0</v>
      </c>
      <c r="N21" s="202">
        <f>SUM(A!$BC$3:$BC$18)</f>
        <v>0</v>
      </c>
      <c r="O21" s="110">
        <f t="shared" si="0"/>
        <v>0</v>
      </c>
      <c r="P21" s="203" t="str">
        <f t="shared" si="1"/>
        <v>0</v>
      </c>
      <c r="Q21" s="110">
        <f t="shared" si="2"/>
        <v>0</v>
      </c>
    </row>
    <row r="22" ht="18.75" spans="7:17">
      <c r="G22" s="104">
        <v>16</v>
      </c>
      <c r="H22" s="107" t="str">
        <f>IF(A!C10&lt;&gt;0,A!C10," ")</f>
        <v>SOLDACERO INDUSTRIAL</v>
      </c>
      <c r="I22" s="202">
        <f>COUNTA(A!D10,A!I10,A!N10,A!S10,A!X10,A!AC10,A!AH10,A!AM11:AM18)</f>
        <v>6</v>
      </c>
      <c r="J22" s="201">
        <f>COUNTIF(A!$AP$3:$AP$18,3)</f>
        <v>0</v>
      </c>
      <c r="K22" s="201">
        <f>COUNTIF(A!$AP$3:$AP$18,1)</f>
        <v>0</v>
      </c>
      <c r="L22" s="201">
        <f>COUNTIF(A!$AP$3:$AP$18,0)</f>
        <v>6</v>
      </c>
      <c r="M22" s="202">
        <f>SUM(A!$AO$3:$AO$18)</f>
        <v>10</v>
      </c>
      <c r="N22" s="202">
        <f>SUM(A!$AN$3:$AN$18)</f>
        <v>25</v>
      </c>
      <c r="O22" s="110">
        <f t="shared" si="0"/>
        <v>-15</v>
      </c>
      <c r="P22" s="203">
        <f t="shared" si="1"/>
        <v>4.16666666666667</v>
      </c>
      <c r="Q22" s="110">
        <f t="shared" si="2"/>
        <v>0</v>
      </c>
    </row>
    <row r="23" spans="9:14">
      <c r="I23" s="101">
        <f>SUM(I7:I22)/2</f>
        <v>28</v>
      </c>
      <c r="J23" s="101">
        <f>SUM(J7:J22)</f>
        <v>26</v>
      </c>
      <c r="K23" s="101">
        <f>SUM(K7:K22)/2</f>
        <v>2</v>
      </c>
      <c r="L23" s="101">
        <f>SUM(L7:L22)</f>
        <v>26</v>
      </c>
      <c r="M23" s="101">
        <f>SUM(M7:M22)</f>
        <v>181</v>
      </c>
      <c r="N23" s="101">
        <f>SUM(N7:N22)</f>
        <v>181</v>
      </c>
    </row>
  </sheetData>
  <sheetProtection algorithmName="SHA-512" hashValue="IjRsSDlAifWb+BnGSxH3MjliRFQdz5f60TqvHHlPGe1AS8v342h2+2BNXEOA9OUIqekc5Hse+5AX2h9KgBALEw==" saltValue="hWyb4wVO3MExiHQ7VBHfyA==" spinCount="100000" sheet="1" formatCells="0" sort="0" objects="1" scenarios="1"/>
  <sortState ref="H7:Q22">
    <sortCondition ref="Q7:Q22" descending="1"/>
    <sortCondition ref="O7:O22" descending="1"/>
    <sortCondition ref="I7:I22"/>
    <sortCondition ref="M7:M22" descending="1"/>
    <sortCondition ref="N7:N22"/>
  </sortState>
  <mergeCells count="1">
    <mergeCell ref="H4:Q5"/>
  </mergeCells>
  <pageMargins left="0.7" right="0.7" top="0.75" bottom="0.75" header="0.3" footer="0.3"/>
  <pageSetup paperSize="1" orientation="portrait" horizontalDpi="3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name="Button 3" r:id="rId3">
              <controlPr print="0" defaultSize="0">
                <anchor moveWithCells="1" sizeWithCells="1">
                  <from>
                    <xdr:col>17</xdr:col>
                    <xdr:colOff>619125</xdr:colOff>
                    <xdr:row>9</xdr:row>
                    <xdr:rowOff>38100</xdr:rowOff>
                  </from>
                  <to>
                    <xdr:col>19</xdr:col>
                    <xdr:colOff>933450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0"/>
  <dimension ref="A1:I69"/>
  <sheetViews>
    <sheetView showGridLines="0" workbookViewId="0">
      <pane ySplit="5" topLeftCell="A6" activePane="bottomLeft" state="frozen"/>
      <selection/>
      <selection pane="bottomLeft" activeCell="A1" sqref="A1:H2"/>
    </sheetView>
  </sheetViews>
  <sheetFormatPr defaultColWidth="11" defaultRowHeight="12.95" customHeight="1"/>
  <cols>
    <col min="1" max="1" width="9.71296296296296" style="169" customWidth="1"/>
    <col min="2" max="2" width="12.5740740740741" style="169" customWidth="1"/>
    <col min="3" max="3" width="27.8518518518519" style="170" customWidth="1"/>
    <col min="4" max="4" width="28.712962962963" style="170" customWidth="1"/>
    <col min="5" max="5" width="9.71296296296296" style="171" customWidth="1"/>
    <col min="6" max="6" width="9.71296296296296" style="170" customWidth="1"/>
    <col min="7" max="7" width="11.4259259259259" style="170" customWidth="1"/>
    <col min="8" max="8" width="4.71296296296296" style="172" customWidth="1"/>
    <col min="9" max="9" width="46.4259259259259" style="170" hidden="1" customWidth="1"/>
    <col min="10" max="16384" width="11.4259259259259" style="170"/>
  </cols>
  <sheetData>
    <row r="1" customHeight="1" spans="1:8">
      <c r="A1" s="173" t="s">
        <v>35</v>
      </c>
      <c r="B1" s="173"/>
      <c r="C1" s="173"/>
      <c r="D1" s="173"/>
      <c r="E1" s="173"/>
      <c r="F1" s="173"/>
      <c r="G1" s="173"/>
      <c r="H1" s="173"/>
    </row>
    <row r="2" customHeight="1" spans="1:8">
      <c r="A2" s="173"/>
      <c r="B2" s="173"/>
      <c r="C2" s="173"/>
      <c r="D2" s="173"/>
      <c r="E2" s="173"/>
      <c r="F2" s="173"/>
      <c r="G2" s="173"/>
      <c r="H2" s="173"/>
    </row>
    <row r="4" hidden="1" customHeight="1" spans="5:7">
      <c r="E4" s="174">
        <f>SUM(Tabla115[GENERADO])</f>
        <v>219000</v>
      </c>
      <c r="F4" s="174">
        <f>SUM(Tabla115[PAGADO])</f>
        <v>96000</v>
      </c>
      <c r="G4" s="175">
        <f>F4/E4</f>
        <v>0.438356164383562</v>
      </c>
    </row>
    <row r="5" customHeight="1" spans="1:9">
      <c r="A5" s="176" t="s">
        <v>3</v>
      </c>
      <c r="B5" s="176" t="s">
        <v>36</v>
      </c>
      <c r="C5" s="177" t="s">
        <v>1</v>
      </c>
      <c r="D5" s="177" t="s">
        <v>2</v>
      </c>
      <c r="E5" s="178" t="s">
        <v>37</v>
      </c>
      <c r="F5" s="179" t="s">
        <v>38</v>
      </c>
      <c r="G5" s="179" t="s">
        <v>39</v>
      </c>
      <c r="H5" s="180" t="s">
        <v>40</v>
      </c>
      <c r="I5" s="170" t="s">
        <v>41</v>
      </c>
    </row>
    <row r="6" hidden="1" customHeight="1" spans="1:9">
      <c r="A6" s="181">
        <v>44625</v>
      </c>
      <c r="B6" s="182">
        <v>75101139</v>
      </c>
      <c r="C6" s="183" t="str">
        <f ca="1">IF(B6&lt;&gt;0,VLOOKUP(Tabla115[[#This Row],[CEDULA]],Tabla5[],2,0)," ")</f>
        <v>EDWIN MAURICIO TRIVIÑO OSORIO</v>
      </c>
      <c r="D6" s="183" t="str">
        <f ca="1">IF(B6&lt;&gt;0,VLOOKUP(Tabla115[[#This Row],[CEDULA]],Tabla5[],3,0)," ")</f>
        <v>ABC JURIDICA S.A.S - EURO REPUESTOS EL BOMBI</v>
      </c>
      <c r="E6" s="184">
        <v>3000</v>
      </c>
      <c r="F6" s="185">
        <v>3000</v>
      </c>
      <c r="G6" s="186">
        <v>44653</v>
      </c>
      <c r="H6" s="187"/>
      <c r="I6" s="170" t="s">
        <v>42</v>
      </c>
    </row>
    <row r="7" hidden="1" customHeight="1" spans="1:9">
      <c r="A7" s="181">
        <v>44639</v>
      </c>
      <c r="B7" s="182">
        <v>75096885</v>
      </c>
      <c r="C7" s="183" t="str">
        <f ca="1">IF(B7&lt;&gt;0,VLOOKUP(Tabla115[[#This Row],[CEDULA]],Tabla5[],2,0)," ")</f>
        <v>JORGE ANDRES OSPINA CASTAÑO</v>
      </c>
      <c r="D7" s="183" t="str">
        <f ca="1">IF(B7&lt;&gt;0,VLOOKUP(Tabla115[[#This Row],[CEDULA]],Tabla5[],3,0)," ")</f>
        <v>ABC JURIDICA S.A.S - EURO REPUESTOS EL BOMBI</v>
      </c>
      <c r="E7" s="184">
        <v>3000</v>
      </c>
      <c r="F7" s="185">
        <v>3000</v>
      </c>
      <c r="G7" s="186">
        <v>44653</v>
      </c>
      <c r="H7" s="187"/>
      <c r="I7" s="170" t="s">
        <v>43</v>
      </c>
    </row>
    <row r="8" hidden="1" customHeight="1" spans="1:9">
      <c r="A8" s="181">
        <v>44625</v>
      </c>
      <c r="B8" s="182">
        <v>1053782505</v>
      </c>
      <c r="C8" s="183" t="str">
        <f ca="1">IF(B8&lt;&gt;0,VLOOKUP(Tabla115[[#This Row],[CEDULA]],Tabla5[],2,0)," ")</f>
        <v>JORGE HERNAN CALLE LOPEZ</v>
      </c>
      <c r="D8" s="183" t="str">
        <f ca="1">IF(B8&lt;&gt;0,VLOOKUP(Tabla115[[#This Row],[CEDULA]],Tabla5[],3,0)," ")</f>
        <v>ABC JURIDICA S.A.S - EURO REPUESTOS EL BOMBI</v>
      </c>
      <c r="E8" s="184">
        <v>3000</v>
      </c>
      <c r="F8" s="185">
        <v>3000</v>
      </c>
      <c r="G8" s="186">
        <v>44653</v>
      </c>
      <c r="H8" s="187"/>
      <c r="I8" s="170" t="s">
        <v>44</v>
      </c>
    </row>
    <row r="9" hidden="1" customHeight="1" spans="1:9">
      <c r="A9" s="188">
        <v>44604</v>
      </c>
      <c r="B9" s="182">
        <v>16070678</v>
      </c>
      <c r="C9" s="183" t="str">
        <f ca="1">IF(B9&lt;&gt;0,VLOOKUP(Tabla115[[#This Row],[CEDULA]],Tabla5[],2,0)," ")</f>
        <v>JOVANY HERNANDEZ BARCO</v>
      </c>
      <c r="D9" s="183" t="str">
        <f ca="1">IF(B9&lt;&gt;0,VLOOKUP(Tabla115[[#This Row],[CEDULA]],Tabla5[],3,0)," ")</f>
        <v>ALEMANA DE REPUESTOS - ESTRUCTURAS LIVIANAS</v>
      </c>
      <c r="E9" s="184">
        <v>3000</v>
      </c>
      <c r="F9" s="185">
        <v>3000</v>
      </c>
      <c r="G9" s="186">
        <v>44639</v>
      </c>
      <c r="H9" s="187"/>
      <c r="I9" s="170" t="s">
        <v>45</v>
      </c>
    </row>
    <row r="10" hidden="1" customHeight="1" spans="1:9">
      <c r="A10" s="181">
        <v>44618</v>
      </c>
      <c r="B10" s="182">
        <v>16070678</v>
      </c>
      <c r="C10" s="183" t="str">
        <f ca="1">IF(B10&lt;&gt;0,VLOOKUP(Tabla115[[#This Row],[CEDULA]],Tabla5[],2,0)," ")</f>
        <v>JOVANY HERNANDEZ BARCO</v>
      </c>
      <c r="D10" s="183" t="str">
        <f ca="1">IF(B10&lt;&gt;0,VLOOKUP(Tabla115[[#This Row],[CEDULA]],Tabla5[],3,0)," ")</f>
        <v>ALEMANA DE REPUESTOS - ESTRUCTURAS LIVIANAS</v>
      </c>
      <c r="E10" s="184">
        <v>3000</v>
      </c>
      <c r="F10" s="185">
        <v>3000</v>
      </c>
      <c r="G10" s="186">
        <v>44639</v>
      </c>
      <c r="H10" s="187"/>
      <c r="I10" s="170" t="s">
        <v>46</v>
      </c>
    </row>
    <row r="11" hidden="1" customHeight="1" spans="1:9">
      <c r="A11" s="181">
        <v>44639</v>
      </c>
      <c r="B11" s="182">
        <v>1053782505</v>
      </c>
      <c r="C11" s="183" t="str">
        <f ca="1">IF(B11&lt;&gt;0,VLOOKUP(Tabla115[[#This Row],[CEDULA]],Tabla5[],2,0)," ")</f>
        <v>JORGE HERNAN CALLE LOPEZ</v>
      </c>
      <c r="D11" s="183" t="str">
        <f ca="1">IF(B11&lt;&gt;0,VLOOKUP(Tabla115[[#This Row],[CEDULA]],Tabla5[],3,0)," ")</f>
        <v>ABC JURIDICA S.A.S - EURO REPUESTOS EL BOMBI</v>
      </c>
      <c r="E11" s="184">
        <v>3000</v>
      </c>
      <c r="F11" s="185">
        <v>3000</v>
      </c>
      <c r="G11" s="186">
        <v>44653</v>
      </c>
      <c r="H11" s="187"/>
      <c r="I11" s="170" t="s">
        <v>47</v>
      </c>
    </row>
    <row r="12" customHeight="1" spans="1:9">
      <c r="A12" s="181">
        <v>44653</v>
      </c>
      <c r="B12" s="182">
        <v>75101630</v>
      </c>
      <c r="C12" s="183" t="str">
        <f ca="1">IF(B12&lt;&gt;0,VLOOKUP(Tabla115[[#This Row],[CEDULA]],Tabla5[],2,0)," ")</f>
        <v>EDISON ANDRES OCAMPO SOLANO</v>
      </c>
      <c r="D12" s="183" t="str">
        <f ca="1">IF(B12&lt;&gt;0,VLOOKUP(Tabla115[[#This Row],[CEDULA]],Tabla5[],3,0)," ")</f>
        <v>ABC JURIDICA S.A.S - EURO REPUESTOS EL BOMBI</v>
      </c>
      <c r="E12" s="184">
        <v>3000</v>
      </c>
      <c r="F12" s="185"/>
      <c r="G12" s="186"/>
      <c r="H12" s="187"/>
      <c r="I12" s="170" t="s">
        <v>48</v>
      </c>
    </row>
    <row r="13" customHeight="1" spans="1:9">
      <c r="A13" s="181">
        <v>44625</v>
      </c>
      <c r="B13" s="182">
        <v>75101808</v>
      </c>
      <c r="C13" s="183" t="str">
        <f ca="1">IF(B13&lt;&gt;0,VLOOKUP(Tabla115[[#This Row],[CEDULA]],Tabla5[],2,0)," ")</f>
        <v>JOHN ANDRES GAVIRIA ESCOBAR</v>
      </c>
      <c r="D13" s="183" t="str">
        <f ca="1">IF(B13&lt;&gt;0,VLOOKUP(Tabla115[[#This Row],[CEDULA]],Tabla5[],3,0)," ")</f>
        <v>ALEMANA DE REPUESTOS - ESTRUCTURAS LIVIANAS</v>
      </c>
      <c r="E13" s="184">
        <v>3000</v>
      </c>
      <c r="F13" s="185"/>
      <c r="G13" s="186"/>
      <c r="H13" s="187"/>
      <c r="I13" s="170" t="s">
        <v>49</v>
      </c>
    </row>
    <row r="14" hidden="1" customHeight="1" spans="1:9">
      <c r="A14" s="188">
        <v>44604</v>
      </c>
      <c r="B14" s="182">
        <v>9977618</v>
      </c>
      <c r="C14" s="183" t="str">
        <f ca="1">IF(B14&lt;&gt;0,VLOOKUP(Tabla115[[#This Row],[CEDULA]],Tabla5[],2,0)," ")</f>
        <v>WILLINGTON LEANDRO ARCILA OCAMPO</v>
      </c>
      <c r="D14" s="183" t="str">
        <f ca="1">IF(B14&lt;&gt;0,VLOOKUP(Tabla115[[#This Row],[CEDULA]],Tabla5[],3,0)," ")</f>
        <v>ALEMANA DE REPUESTOS - ESTRUCTURAS LIVIANAS</v>
      </c>
      <c r="E14" s="184">
        <v>3000</v>
      </c>
      <c r="F14" s="185">
        <v>3000</v>
      </c>
      <c r="G14" s="186">
        <v>44653</v>
      </c>
      <c r="H14" s="187"/>
      <c r="I14" s="170" t="s">
        <v>50</v>
      </c>
    </row>
    <row r="15" customHeight="1" spans="1:9">
      <c r="A15" s="181">
        <v>44653</v>
      </c>
      <c r="B15" s="182">
        <v>16070678</v>
      </c>
      <c r="C15" s="183" t="str">
        <f ca="1">IF(B15&lt;&gt;0,VLOOKUP(Tabla115[[#This Row],[CEDULA]],Tabla5[],2,0)," ")</f>
        <v>JOVANY HERNANDEZ BARCO</v>
      </c>
      <c r="D15" s="183" t="str">
        <f ca="1">IF(B15&lt;&gt;0,VLOOKUP(Tabla115[[#This Row],[CEDULA]],Tabla5[],3,0)," ")</f>
        <v>ALEMANA DE REPUESTOS - ESTRUCTURAS LIVIANAS</v>
      </c>
      <c r="E15" s="184">
        <v>3000</v>
      </c>
      <c r="F15" s="185"/>
      <c r="G15" s="186"/>
      <c r="H15" s="187"/>
      <c r="I15" s="170" t="s">
        <v>51</v>
      </c>
    </row>
    <row r="16" customHeight="1" spans="1:9">
      <c r="A16" s="181">
        <v>44674</v>
      </c>
      <c r="B16" s="182">
        <v>16070366</v>
      </c>
      <c r="C16" s="183" t="str">
        <f ca="1">IF(B16&lt;&gt;0,VLOOKUP(Tabla115[[#This Row],[CEDULA]],Tabla5[],2,0)," ")</f>
        <v>LUIS FELIPE CARDONA VILLEGAS</v>
      </c>
      <c r="D16" s="183" t="str">
        <f ca="1">IF(B16&lt;&gt;0,VLOOKUP(Tabla115[[#This Row],[CEDULA]],Tabla5[],3,0)," ")</f>
        <v>ALEMANA DE REPUESTOS - ESTRUCTURAS LIVIANAS</v>
      </c>
      <c r="E16" s="184">
        <v>6000</v>
      </c>
      <c r="F16" s="185"/>
      <c r="G16" s="186"/>
      <c r="H16" s="187">
        <v>2</v>
      </c>
      <c r="I16" s="170" t="s">
        <v>52</v>
      </c>
    </row>
    <row r="17" customHeight="1" spans="1:9">
      <c r="A17" s="181">
        <v>44674</v>
      </c>
      <c r="B17" s="182">
        <v>16071792</v>
      </c>
      <c r="C17" s="183" t="str">
        <f ca="1">IF(B17&lt;&gt;0,VLOOKUP(Tabla115[[#This Row],[CEDULA]],Tabla5[],2,0)," ")</f>
        <v>MARIO ALBERTO VASCO LOPEZ</v>
      </c>
      <c r="D17" s="183" t="str">
        <f ca="1">IF(B17&lt;&gt;0,VLOOKUP(Tabla115[[#This Row],[CEDULA]],Tabla5[],3,0)," ")</f>
        <v>ALEMANA DE REPUESTOS - ESTRUCTURAS LIVIANAS</v>
      </c>
      <c r="E17" s="184">
        <v>3000</v>
      </c>
      <c r="F17" s="185"/>
      <c r="G17" s="186"/>
      <c r="H17" s="187"/>
      <c r="I17" s="170" t="s">
        <v>53</v>
      </c>
    </row>
    <row r="18" hidden="1" customHeight="1" spans="1:9">
      <c r="A18" s="181">
        <v>44611</v>
      </c>
      <c r="B18" s="182">
        <v>16079516</v>
      </c>
      <c r="C18" s="183" t="str">
        <f ca="1">IF(B18&lt;&gt;0,VLOOKUP(Tabla115[[#This Row],[CEDULA]],Tabla5[],2,0)," ")</f>
        <v>HUMBERTO ALEXANDRO CARDONA FLOREZ</v>
      </c>
      <c r="D18" s="183" t="str">
        <f ca="1">IF(B18&lt;&gt;0,VLOOKUP(Tabla115[[#This Row],[CEDULA]],Tabla5[],3,0)," ")</f>
        <v>JENAVI F.C</v>
      </c>
      <c r="E18" s="184">
        <v>3000</v>
      </c>
      <c r="F18" s="185">
        <v>3000</v>
      </c>
      <c r="G18" s="186">
        <v>44618</v>
      </c>
      <c r="H18" s="187"/>
      <c r="I18" s="170" t="s">
        <v>54</v>
      </c>
    </row>
    <row r="19" hidden="1" customHeight="1" spans="1:9">
      <c r="A19" s="181">
        <v>44611</v>
      </c>
      <c r="B19" s="182">
        <v>75108042</v>
      </c>
      <c r="C19" s="183" t="str">
        <f ca="1">IF(B19&lt;&gt;0,VLOOKUP(Tabla115[[#This Row],[CEDULA]],Tabla5[],2,0)," ")</f>
        <v>JORGE ANDRES BARCO DELGADO</v>
      </c>
      <c r="D19" s="183" t="str">
        <f ca="1">IF(B19&lt;&gt;0,VLOOKUP(Tabla115[[#This Row],[CEDULA]],Tabla5[],3,0)," ")</f>
        <v>JENAVI F.C</v>
      </c>
      <c r="E19" s="184">
        <v>3000</v>
      </c>
      <c r="F19" s="185">
        <v>3000</v>
      </c>
      <c r="G19" s="186">
        <v>44618</v>
      </c>
      <c r="H19" s="187"/>
      <c r="I19" s="170" t="s">
        <v>55</v>
      </c>
    </row>
    <row r="20" hidden="1" customHeight="1" spans="1:9">
      <c r="A20" s="181">
        <v>44611</v>
      </c>
      <c r="B20" s="182">
        <v>16075760</v>
      </c>
      <c r="C20" s="183" t="str">
        <f ca="1">IF(B20&lt;&gt;0,VLOOKUP(Tabla115[[#This Row],[CEDULA]],Tabla5[],2,0)," ")</f>
        <v>RICARDO ANDRES BARCO CARDONA</v>
      </c>
      <c r="D20" s="183" t="str">
        <f ca="1">IF(B20&lt;&gt;0,VLOOKUP(Tabla115[[#This Row],[CEDULA]],Tabla5[],3,0)," ")</f>
        <v>JENAVI F.C</v>
      </c>
      <c r="E20" s="184">
        <v>3000</v>
      </c>
      <c r="F20" s="185">
        <v>3000</v>
      </c>
      <c r="G20" s="186">
        <v>44618</v>
      </c>
      <c r="H20" s="187"/>
      <c r="I20" s="170" t="s">
        <v>56</v>
      </c>
    </row>
    <row r="21" hidden="1" customHeight="1" spans="1:9">
      <c r="A21" s="181">
        <v>44618</v>
      </c>
      <c r="B21" s="182">
        <v>16075760</v>
      </c>
      <c r="C21" s="183" t="str">
        <f ca="1">IF(B21&lt;&gt;0,VLOOKUP(Tabla115[[#This Row],[CEDULA]],Tabla5[],2,0)," ")</f>
        <v>RICARDO ANDRES BARCO CARDONA</v>
      </c>
      <c r="D21" s="183" t="str">
        <f ca="1">IF(B21&lt;&gt;0,VLOOKUP(Tabla115[[#This Row],[CEDULA]],Tabla5[],3,0)," ")</f>
        <v>JENAVI F.C</v>
      </c>
      <c r="E21" s="184">
        <v>3000</v>
      </c>
      <c r="F21" s="185">
        <v>3000</v>
      </c>
      <c r="G21" s="186">
        <v>44639</v>
      </c>
      <c r="H21" s="187"/>
      <c r="I21" s="170" t="s">
        <v>57</v>
      </c>
    </row>
    <row r="22" hidden="1" customHeight="1" spans="1:9">
      <c r="A22" s="181">
        <v>44639</v>
      </c>
      <c r="B22" s="182">
        <v>1053773776</v>
      </c>
      <c r="C22" s="183" t="str">
        <f ca="1">IF(B22&lt;&gt;0,VLOOKUP(Tabla115[[#This Row],[CEDULA]],Tabla5[],2,0)," ")</f>
        <v>JHON HAROLD RAMIREZ GALLEGO</v>
      </c>
      <c r="D22" s="183" t="str">
        <f ca="1">IF(B22&lt;&gt;0,VLOOKUP(Tabla115[[#This Row],[CEDULA]],Tabla5[],3,0)," ")</f>
        <v>DON JUAN BAR</v>
      </c>
      <c r="E22" s="184">
        <v>3000</v>
      </c>
      <c r="F22" s="185">
        <v>3000</v>
      </c>
      <c r="G22" s="186">
        <v>44660</v>
      </c>
      <c r="H22" s="187"/>
      <c r="I22" s="170" t="s">
        <v>58</v>
      </c>
    </row>
    <row r="23" customHeight="1" spans="1:9">
      <c r="A23" s="181">
        <v>44674</v>
      </c>
      <c r="B23" s="182">
        <v>98563146</v>
      </c>
      <c r="C23" s="183" t="str">
        <f ca="1">IF(B23&lt;&gt;0,VLOOKUP(Tabla115[[#This Row],[CEDULA]],Tabla5[],2,0)," ")</f>
        <v>PEDRO ELIAS VARGAS CESPEDES</v>
      </c>
      <c r="D23" s="183" t="str">
        <f ca="1">IF(B23&lt;&gt;0,VLOOKUP(Tabla115[[#This Row],[CEDULA]],Tabla5[],3,0)," ")</f>
        <v>ALEMANA DE REPUESTOS - ESTRUCTURAS LIVIANAS</v>
      </c>
      <c r="E23" s="184">
        <v>3000</v>
      </c>
      <c r="F23" s="185"/>
      <c r="G23" s="186"/>
      <c r="H23" s="187"/>
      <c r="I23" s="170" t="s">
        <v>59</v>
      </c>
    </row>
    <row r="24" customHeight="1" spans="1:9">
      <c r="A24" s="188">
        <v>44604</v>
      </c>
      <c r="B24" s="182">
        <v>75108001</v>
      </c>
      <c r="C24" s="183" t="str">
        <f ca="1">IF(B24&lt;&gt;0,VLOOKUP(Tabla115[[#This Row],[CEDULA]],Tabla5[],2,0)," ")</f>
        <v>SERGIO ANDRIAN GONZALEZ TAMAYO</v>
      </c>
      <c r="D24" s="183" t="str">
        <f ca="1">IF(B24&lt;&gt;0,VLOOKUP(Tabla115[[#This Row],[CEDULA]],Tabla5[],3,0)," ")</f>
        <v>ALEMANA DE REPUESTOS - ESTRUCTURAS LIVIANAS</v>
      </c>
      <c r="E24" s="184">
        <v>3000</v>
      </c>
      <c r="F24" s="185"/>
      <c r="G24" s="186"/>
      <c r="H24" s="187"/>
      <c r="I24" s="170" t="s">
        <v>60</v>
      </c>
    </row>
    <row r="25" hidden="1" customHeight="1" spans="1:9">
      <c r="A25" s="181">
        <v>44632</v>
      </c>
      <c r="B25" s="182">
        <v>75098952</v>
      </c>
      <c r="C25" s="183" t="str">
        <f ca="1">IF(B25&lt;&gt;0,VLOOKUP(Tabla115[[#This Row],[CEDULA]],Tabla5[],2,0)," ")</f>
        <v>OSCAR JULIAN RODRIGUEZ ARISTIZABAL</v>
      </c>
      <c r="D25" s="183" t="str">
        <f ca="1">IF(B25&lt;&gt;0,VLOOKUP(Tabla115[[#This Row],[CEDULA]],Tabla5[],3,0)," ")</f>
        <v>DON JUAN BAR</v>
      </c>
      <c r="E25" s="184">
        <v>3000</v>
      </c>
      <c r="F25" s="185">
        <v>3000</v>
      </c>
      <c r="G25" s="186">
        <v>44660</v>
      </c>
      <c r="H25" s="187"/>
      <c r="I25" s="170" t="s">
        <v>61</v>
      </c>
    </row>
    <row r="26" customHeight="1" spans="1:9">
      <c r="A26" s="181">
        <v>44660</v>
      </c>
      <c r="B26" s="182">
        <v>1053775240</v>
      </c>
      <c r="C26" s="183" t="str">
        <f ca="1">IF(B26&lt;&gt;0,VLOOKUP(Tabla115[[#This Row],[CEDULA]],Tabla5[],2,0)," ")</f>
        <v>CRISTIAN DAVID VALENCIA CUELLAR</v>
      </c>
      <c r="D26" s="183" t="str">
        <f ca="1">IF(B26&lt;&gt;0,VLOOKUP(Tabla115[[#This Row],[CEDULA]],Tabla5[],3,0)," ")</f>
        <v>DON JUAN BAR</v>
      </c>
      <c r="E26" s="184">
        <v>3000</v>
      </c>
      <c r="F26" s="185"/>
      <c r="G26" s="186"/>
      <c r="H26" s="187"/>
      <c r="I26" s="170" t="s">
        <v>62</v>
      </c>
    </row>
    <row r="27" customHeight="1" spans="1:9">
      <c r="A27" s="181">
        <v>44632</v>
      </c>
      <c r="B27" s="182">
        <v>75101040</v>
      </c>
      <c r="C27" s="183" t="str">
        <f ca="1">IF(B27&lt;&gt;0,VLOOKUP(Tabla115[[#This Row],[CEDULA]],Tabla5[],2,0)," ")</f>
        <v>FREDY JOVANY NUÑEZ HERNANDEZ</v>
      </c>
      <c r="D27" s="183" t="str">
        <f ca="1">IF(B27&lt;&gt;0,VLOOKUP(Tabla115[[#This Row],[CEDULA]],Tabla5[],3,0)," ")</f>
        <v>DON JUAN BAR</v>
      </c>
      <c r="E27" s="184">
        <v>3000</v>
      </c>
      <c r="F27" s="185"/>
      <c r="G27" s="186"/>
      <c r="H27" s="187"/>
      <c r="I27" s="170" t="s">
        <v>63</v>
      </c>
    </row>
    <row r="28" hidden="1" customHeight="1" spans="1:9">
      <c r="A28" s="181">
        <v>44611</v>
      </c>
      <c r="B28" s="182">
        <v>75092966</v>
      </c>
      <c r="C28" s="183" t="str">
        <f ca="1">IF(B28&lt;&gt;0,VLOOKUP(Tabla115[[#This Row],[CEDULA]],Tabla5[],2,0)," ")</f>
        <v>JOSE ROBINSON ARBOLEDA DUQUE</v>
      </c>
      <c r="D28" s="183" t="str">
        <f ca="1">IF(B28&lt;&gt;0,VLOOKUP(Tabla115[[#This Row],[CEDULA]],Tabla5[],3,0)," ")</f>
        <v>M Y M - ESPARTANOS</v>
      </c>
      <c r="E28" s="184">
        <v>3000</v>
      </c>
      <c r="F28" s="185">
        <v>3000</v>
      </c>
      <c r="G28" s="186">
        <v>44639</v>
      </c>
      <c r="H28" s="187"/>
      <c r="I28" s="170" t="s">
        <v>64</v>
      </c>
    </row>
    <row r="29" hidden="1" customHeight="1" spans="1:9">
      <c r="A29" s="181">
        <v>44632</v>
      </c>
      <c r="B29" s="182">
        <v>75092966</v>
      </c>
      <c r="C29" s="183" t="str">
        <f ca="1">IF(B29&lt;&gt;0,VLOOKUP(Tabla115[[#This Row],[CEDULA]],Tabla5[],2,0)," ")</f>
        <v>JOSE ROBINSON ARBOLEDA DUQUE</v>
      </c>
      <c r="D29" s="183" t="str">
        <f ca="1">IF(B29&lt;&gt;0,VLOOKUP(Tabla115[[#This Row],[CEDULA]],Tabla5[],3,0)," ")</f>
        <v>M Y M - ESPARTANOS</v>
      </c>
      <c r="E29" s="184">
        <v>3000</v>
      </c>
      <c r="F29" s="185">
        <v>3000</v>
      </c>
      <c r="G29" s="186">
        <v>44639</v>
      </c>
      <c r="H29" s="187"/>
      <c r="I29" s="170" t="s">
        <v>65</v>
      </c>
    </row>
    <row r="30" hidden="1" customHeight="1" spans="1:9">
      <c r="A30" s="181">
        <v>44611</v>
      </c>
      <c r="B30" s="182">
        <v>75102445</v>
      </c>
      <c r="C30" s="183" t="str">
        <f ca="1">IF(B30&lt;&gt;0,VLOOKUP(Tabla115[[#This Row],[CEDULA]],Tabla5[],2,0)," ")</f>
        <v>ANDRES GIOVANNI CARDONA ZULUAGA</v>
      </c>
      <c r="D30" s="183" t="str">
        <f ca="1">IF(B30&lt;&gt;0,VLOOKUP(Tabla115[[#This Row],[CEDULA]],Tabla5[],3,0)," ")</f>
        <v>FAMA MANTENIMIENTO</v>
      </c>
      <c r="E30" s="184">
        <v>3000</v>
      </c>
      <c r="F30" s="185">
        <v>3000</v>
      </c>
      <c r="G30" s="186">
        <v>44674</v>
      </c>
      <c r="H30" s="187"/>
      <c r="I30" s="170" t="s">
        <v>66</v>
      </c>
    </row>
    <row r="31" hidden="1" customHeight="1" spans="1:9">
      <c r="A31" s="189">
        <v>44646</v>
      </c>
      <c r="B31" s="190">
        <v>16076078</v>
      </c>
      <c r="C31" s="191" t="str">
        <f ca="1">IF(B31&lt;&gt;0,VLOOKUP(Tabla115[[#This Row],[CEDULA]],Tabla5[],2,0)," ")</f>
        <v>CRISTIAN CAMILO GOMEZ MENDOZA</v>
      </c>
      <c r="D31" s="191" t="str">
        <f ca="1">IF(B31&lt;&gt;0,VLOOKUP(Tabla115[[#This Row],[CEDULA]],Tabla5[],3,0)," ")</f>
        <v>FAMA MANTENIMIENTO</v>
      </c>
      <c r="E31" s="184">
        <v>6000</v>
      </c>
      <c r="F31" s="185">
        <v>6000</v>
      </c>
      <c r="G31" s="186">
        <v>44674</v>
      </c>
      <c r="H31" s="187"/>
      <c r="I31" s="170" t="s">
        <v>67</v>
      </c>
    </row>
    <row r="32" customHeight="1" spans="1:9">
      <c r="A32" s="181">
        <v>44660</v>
      </c>
      <c r="B32" s="182">
        <v>75101040</v>
      </c>
      <c r="C32" s="183" t="str">
        <f ca="1">IF(B32&lt;&gt;0,VLOOKUP(Tabla115[[#This Row],[CEDULA]],Tabla5[],2,0)," ")</f>
        <v>FREDY JOVANY NUÑEZ HERNANDEZ</v>
      </c>
      <c r="D32" s="183" t="str">
        <f ca="1">IF(B32&lt;&gt;0,VLOOKUP(Tabla115[[#This Row],[CEDULA]],Tabla5[],3,0)," ")</f>
        <v>DON JUAN BAR</v>
      </c>
      <c r="E32" s="184">
        <v>3000</v>
      </c>
      <c r="F32" s="185"/>
      <c r="G32" s="186"/>
      <c r="H32" s="187"/>
      <c r="I32" s="170" t="s">
        <v>68</v>
      </c>
    </row>
    <row r="33" hidden="1" customHeight="1" spans="1:9">
      <c r="A33" s="181">
        <v>44632</v>
      </c>
      <c r="B33" s="182">
        <v>16072400</v>
      </c>
      <c r="C33" s="183" t="str">
        <f ca="1">IF(B33&lt;&gt;0,VLOOKUP(Tabla115[[#This Row],[CEDULA]],Tabla5[],2,0)," ")</f>
        <v>ANDRES DAVID ARROYAVE ATEHORTUA</v>
      </c>
      <c r="D33" s="183" t="str">
        <f ca="1">IF(B33&lt;&gt;0,VLOOKUP(Tabla115[[#This Row],[CEDULA]],Tabla5[],3,0)," ")</f>
        <v>SAO PAULO TIENDA DE ROPA</v>
      </c>
      <c r="E33" s="184">
        <v>3000</v>
      </c>
      <c r="F33" s="185">
        <v>3000</v>
      </c>
      <c r="G33" s="186">
        <v>44639</v>
      </c>
      <c r="H33" s="187"/>
      <c r="I33" s="170" t="s">
        <v>69</v>
      </c>
    </row>
    <row r="34" customHeight="1" spans="1:9">
      <c r="A34" s="181">
        <v>44674</v>
      </c>
      <c r="B34" s="182">
        <v>1060646230</v>
      </c>
      <c r="C34" s="183" t="str">
        <f ca="1">IF(B34&lt;&gt;0,VLOOKUP(Tabla115[[#This Row],[CEDULA]],Tabla5[],2,0)," ")</f>
        <v>JHONATAN ARISTIZABAL CARDENAS</v>
      </c>
      <c r="D34" s="183" t="str">
        <f ca="1">IF(B34&lt;&gt;0,VLOOKUP(Tabla115[[#This Row],[CEDULA]],Tabla5[],3,0)," ")</f>
        <v>DON JUAN BAR</v>
      </c>
      <c r="E34" s="184">
        <v>3000</v>
      </c>
      <c r="F34" s="185"/>
      <c r="G34" s="186"/>
      <c r="H34" s="187"/>
      <c r="I34" s="170" t="s">
        <v>70</v>
      </c>
    </row>
    <row r="35" customHeight="1" spans="1:9">
      <c r="A35" s="181">
        <v>44618</v>
      </c>
      <c r="B35" s="182">
        <v>1116432115</v>
      </c>
      <c r="C35" s="183" t="str">
        <f ca="1">IF(B35&lt;&gt;0,VLOOKUP(Tabla115[[#This Row],[CEDULA]],Tabla5[],2,0)," ")</f>
        <v>JUAN SEBASTIAN RAMIREZ ALVAREZ</v>
      </c>
      <c r="D35" s="183" t="str">
        <f ca="1">IF(B35&lt;&gt;0,VLOOKUP(Tabla115[[#This Row],[CEDULA]],Tabla5[],3,0)," ")</f>
        <v>DON JUAN BAR</v>
      </c>
      <c r="E35" s="184">
        <v>3000</v>
      </c>
      <c r="F35" s="185"/>
      <c r="G35" s="186"/>
      <c r="H35" s="187"/>
      <c r="I35" s="170" t="s">
        <v>71</v>
      </c>
    </row>
    <row r="36" customHeight="1" spans="1:9">
      <c r="A36" s="181">
        <v>44611</v>
      </c>
      <c r="B36" s="182">
        <v>75103950</v>
      </c>
      <c r="C36" s="183" t="str">
        <f ca="1">IF(B36&lt;&gt;0,VLOOKUP(Tabla115[[#This Row],[CEDULA]],Tabla5[],2,0)," ")</f>
        <v>LUIS FERNANDO PATIÑO SERNA</v>
      </c>
      <c r="D36" s="183" t="str">
        <f ca="1">IF(B36&lt;&gt;0,VLOOKUP(Tabla115[[#This Row],[CEDULA]],Tabla5[],3,0)," ")</f>
        <v>DON JUAN BAR</v>
      </c>
      <c r="E36" s="184">
        <v>3000</v>
      </c>
      <c r="F36" s="185"/>
      <c r="G36" s="186"/>
      <c r="H36" s="187"/>
      <c r="I36" s="170" t="s">
        <v>72</v>
      </c>
    </row>
    <row r="37" hidden="1" customHeight="1" spans="1:9">
      <c r="A37" s="181">
        <v>44625</v>
      </c>
      <c r="B37" s="182">
        <v>16076618</v>
      </c>
      <c r="C37" s="183" t="str">
        <f ca="1">IF(B37&lt;&gt;0,VLOOKUP(Tabla115[[#This Row],[CEDULA]],Tabla5[],2,0)," ")</f>
        <v>RUBEN DARIO FLOREZ ALVARAN</v>
      </c>
      <c r="D37" s="183" t="str">
        <f ca="1">IF(B37&lt;&gt;0,VLOOKUP(Tabla115[[#This Row],[CEDULA]],Tabla5[],3,0)," ")</f>
        <v>SOLDACERO INDUSTRIAL</v>
      </c>
      <c r="E37" s="184">
        <v>3000</v>
      </c>
      <c r="F37" s="185">
        <v>3000</v>
      </c>
      <c r="G37" s="186">
        <v>44639</v>
      </c>
      <c r="H37" s="187"/>
      <c r="I37" s="170" t="s">
        <v>73</v>
      </c>
    </row>
    <row r="38" hidden="1" customHeight="1" spans="1:8">
      <c r="A38" s="181">
        <v>44632</v>
      </c>
      <c r="B38" s="182">
        <v>16076618</v>
      </c>
      <c r="C38" s="183" t="str">
        <f ca="1">IF(B38&lt;&gt;0,VLOOKUP(Tabla115[[#This Row],[CEDULA]],Tabla5[],2,0)," ")</f>
        <v>RUBEN DARIO FLOREZ ALVARAN</v>
      </c>
      <c r="D38" s="183" t="str">
        <f ca="1">IF(B38&lt;&gt;0,VLOOKUP(Tabla115[[#This Row],[CEDULA]],Tabla5[],3,0)," ")</f>
        <v>SOLDACERO INDUSTRIAL</v>
      </c>
      <c r="E38" s="184">
        <v>3000</v>
      </c>
      <c r="F38" s="185">
        <v>3000</v>
      </c>
      <c r="G38" s="186">
        <v>44639</v>
      </c>
      <c r="H38" s="187"/>
    </row>
    <row r="39" customHeight="1" spans="1:8">
      <c r="A39" s="181">
        <v>44674</v>
      </c>
      <c r="B39" s="182">
        <v>75102445</v>
      </c>
      <c r="C39" s="183" t="str">
        <f ca="1">IF(B39&lt;&gt;0,VLOOKUP(Tabla115[[#This Row],[CEDULA]],Tabla5[],2,0)," ")</f>
        <v>ANDRES GIOVANNI CARDONA ZULUAGA</v>
      </c>
      <c r="D39" s="183" t="str">
        <f ca="1">IF(B39&lt;&gt;0,VLOOKUP(Tabla115[[#This Row],[CEDULA]],Tabla5[],3,0)," ")</f>
        <v>FAMA MANTENIMIENTO</v>
      </c>
      <c r="E39" s="184">
        <v>3000</v>
      </c>
      <c r="F39" s="185"/>
      <c r="G39" s="186"/>
      <c r="H39" s="187"/>
    </row>
    <row r="40" hidden="1" customHeight="1" spans="1:8">
      <c r="A40" s="181">
        <v>44632</v>
      </c>
      <c r="B40" s="182">
        <v>1053766351</v>
      </c>
      <c r="C40" s="183" t="str">
        <f ca="1">IF(B40&lt;&gt;0,VLOOKUP(Tabla115[[#This Row],[CEDULA]],Tabla5[],2,0)," ")</f>
        <v>ANDRES MAURICIO GOMEZ GOMEZ</v>
      </c>
      <c r="D40" s="183" t="str">
        <f ca="1">IF(B40&lt;&gt;0,VLOOKUP(Tabla115[[#This Row],[CEDULA]],Tabla5[],3,0)," ")</f>
        <v>M Y M - ESPARTANOS</v>
      </c>
      <c r="E40" s="184">
        <v>3000</v>
      </c>
      <c r="F40" s="185">
        <v>3000</v>
      </c>
      <c r="G40" s="186">
        <v>44674</v>
      </c>
      <c r="H40" s="187"/>
    </row>
    <row r="41" hidden="1" customHeight="1" spans="1:8">
      <c r="A41" s="181">
        <v>44611</v>
      </c>
      <c r="B41" s="182">
        <v>75102078</v>
      </c>
      <c r="C41" s="183" t="str">
        <f ca="1">IF(B41&lt;&gt;0,VLOOKUP(Tabla115[[#This Row],[CEDULA]],Tabla5[],2,0)," ")</f>
        <v>DARINSON RENTERIA LEMUS</v>
      </c>
      <c r="D41" s="183" t="str">
        <f ca="1">IF(B41&lt;&gt;0,VLOOKUP(Tabla115[[#This Row],[CEDULA]],Tabla5[],3,0)," ")</f>
        <v>M Y M - ESPARTANOS</v>
      </c>
      <c r="E41" s="184">
        <v>3000</v>
      </c>
      <c r="F41" s="185">
        <v>3000</v>
      </c>
      <c r="G41" s="186">
        <v>44674</v>
      </c>
      <c r="H41" s="187"/>
    </row>
    <row r="42" hidden="1" customHeight="1" spans="1:8">
      <c r="A42" s="181">
        <v>44625</v>
      </c>
      <c r="B42" s="182">
        <v>75081602</v>
      </c>
      <c r="C42" s="183" t="str">
        <f ca="1">IF(B42&lt;&gt;0,VLOOKUP(Tabla115[[#This Row],[CEDULA]],Tabla5[],2,0)," ")</f>
        <v>LUIS ENRIQUE OCAMPO PEREZ</v>
      </c>
      <c r="D42" s="183" t="str">
        <f ca="1">IF(B42&lt;&gt;0,VLOOKUP(Tabla115[[#This Row],[CEDULA]],Tabla5[],3,0)," ")</f>
        <v>POLIFASE INGENIEIRA</v>
      </c>
      <c r="E42" s="184">
        <v>3000</v>
      </c>
      <c r="F42" s="185">
        <v>3000</v>
      </c>
      <c r="G42" s="186">
        <v>44653</v>
      </c>
      <c r="H42" s="187"/>
    </row>
    <row r="43" hidden="1" customHeight="1" spans="1:8">
      <c r="A43" s="189">
        <v>44632</v>
      </c>
      <c r="B43" s="190">
        <v>75102078</v>
      </c>
      <c r="C43" s="191" t="str">
        <f ca="1">IF(B43&lt;&gt;0,VLOOKUP(Tabla115[[#This Row],[CEDULA]],Tabla5[],2,0)," ")</f>
        <v>DARINSON RENTERIA LEMUS</v>
      </c>
      <c r="D43" s="191" t="str">
        <f ca="1">IF(B43&lt;&gt;0,VLOOKUP(Tabla115[[#This Row],[CEDULA]],Tabla5[],3,0)," ")</f>
        <v>M Y M - ESPARTANOS</v>
      </c>
      <c r="E43" s="184">
        <v>6000</v>
      </c>
      <c r="F43" s="185">
        <v>6000</v>
      </c>
      <c r="G43" s="186">
        <v>44674</v>
      </c>
      <c r="H43" s="187"/>
    </row>
    <row r="44" hidden="1" customHeight="1" spans="1:8">
      <c r="A44" s="181">
        <v>44660</v>
      </c>
      <c r="B44" s="182">
        <v>75102078</v>
      </c>
      <c r="C44" s="183" t="str">
        <f ca="1">IF(B44&lt;&gt;0,VLOOKUP(Tabla115[[#This Row],[CEDULA]],Tabla5[],2,0)," ")</f>
        <v>DARINSON RENTERIA LEMUS</v>
      </c>
      <c r="D44" s="183" t="str">
        <f ca="1">IF(B44&lt;&gt;0,VLOOKUP(Tabla115[[#This Row],[CEDULA]],Tabla5[],3,0)," ")</f>
        <v>M Y M - ESPARTANOS</v>
      </c>
      <c r="E44" s="184">
        <v>3000</v>
      </c>
      <c r="F44" s="185">
        <v>3000</v>
      </c>
      <c r="G44" s="186">
        <v>44674</v>
      </c>
      <c r="H44" s="187"/>
    </row>
    <row r="45" hidden="1" customHeight="1" spans="1:8">
      <c r="A45" s="181">
        <v>44625</v>
      </c>
      <c r="B45" s="182">
        <v>75086431</v>
      </c>
      <c r="C45" s="183" t="str">
        <f ca="1">IF(B45&lt;&gt;0,VLOOKUP(Tabla115[[#This Row],[CEDULA]],Tabla5[],2,0)," ")</f>
        <v>NORBERT EDUIN FRANCO LOPEZ</v>
      </c>
      <c r="D45" s="183" t="str">
        <f ca="1">IF(B45&lt;&gt;0,VLOOKUP(Tabla115[[#This Row],[CEDULA]],Tabla5[],3,0)," ")</f>
        <v>SOLDACERO INDUSTRIAL</v>
      </c>
      <c r="E45" s="184">
        <v>3000</v>
      </c>
      <c r="F45" s="185">
        <v>3000</v>
      </c>
      <c r="G45" s="186">
        <v>44653</v>
      </c>
      <c r="H45" s="187"/>
    </row>
    <row r="46" hidden="1" customHeight="1" spans="1:8">
      <c r="A46" s="181">
        <v>44632</v>
      </c>
      <c r="B46" s="182">
        <v>75074760</v>
      </c>
      <c r="C46" s="183" t="str">
        <f ca="1">IF(B46&lt;&gt;0,VLOOKUP(Tabla115[[#This Row],[CEDULA]],Tabla5[],2,0)," ")</f>
        <v>FERNAN ALONSO MUÑOZ OSORIO</v>
      </c>
      <c r="D46" s="183" t="str">
        <f ca="1">IF(B46&lt;&gt;0,VLOOKUP(Tabla115[[#This Row],[CEDULA]],Tabla5[],3,0)," ")</f>
        <v>M Y M - ESPARTANOS</v>
      </c>
      <c r="E46" s="184">
        <v>3000</v>
      </c>
      <c r="F46" s="185">
        <v>3000</v>
      </c>
      <c r="G46" s="186">
        <v>44674</v>
      </c>
      <c r="H46" s="187"/>
    </row>
    <row r="47" customHeight="1" spans="1:8">
      <c r="A47" s="181">
        <v>44674</v>
      </c>
      <c r="B47" s="182">
        <v>16076078</v>
      </c>
      <c r="C47" s="183" t="str">
        <f ca="1">IF(B47&lt;&gt;0,VLOOKUP(Tabla115[[#This Row],[CEDULA]],Tabla5[],2,0)," ")</f>
        <v>CRISTIAN CAMILO GOMEZ MENDOZA</v>
      </c>
      <c r="D47" s="183" t="str">
        <f ca="1">IF(B47&lt;&gt;0,VLOOKUP(Tabla115[[#This Row],[CEDULA]],Tabla5[],3,0)," ")</f>
        <v>FAMA MANTENIMIENTO</v>
      </c>
      <c r="E47" s="184">
        <v>3000</v>
      </c>
      <c r="F47" s="185"/>
      <c r="G47" s="186"/>
      <c r="H47" s="187"/>
    </row>
    <row r="48" hidden="1" customHeight="1" spans="1:8">
      <c r="A48" s="181">
        <v>44632</v>
      </c>
      <c r="B48" s="182">
        <v>16077846</v>
      </c>
      <c r="C48" s="183" t="str">
        <f ca="1">IF(B48&lt;&gt;0,VLOOKUP(Tabla115[[#This Row],[CEDULA]],Tabla5[],2,0)," ")</f>
        <v>JHON EDISON ARBOLEDA DUQUE</v>
      </c>
      <c r="D48" s="183" t="str">
        <f ca="1">IF(B48&lt;&gt;0,VLOOKUP(Tabla115[[#This Row],[CEDULA]],Tabla5[],3,0)," ")</f>
        <v>M Y M - ESPARTANOS</v>
      </c>
      <c r="E48" s="184">
        <v>3000</v>
      </c>
      <c r="F48" s="185">
        <v>3000</v>
      </c>
      <c r="G48" s="186">
        <v>44674</v>
      </c>
      <c r="H48" s="187"/>
    </row>
    <row r="49" hidden="1" customHeight="1" spans="1:8">
      <c r="A49" s="181">
        <v>44660</v>
      </c>
      <c r="B49" s="182">
        <v>16075218</v>
      </c>
      <c r="C49" s="183" t="str">
        <f ca="1">IF(B49&lt;&gt;0,VLOOKUP(Tabla115[[#This Row],[CEDULA]],Tabla5[],2,0)," ")</f>
        <v>JORGE ARMANDO MARTINEZ DELGADO</v>
      </c>
      <c r="D49" s="183" t="str">
        <f ca="1">IF(B49&lt;&gt;0,VLOOKUP(Tabla115[[#This Row],[CEDULA]],Tabla5[],3,0)," ")</f>
        <v>M Y M - ESPARTANOS</v>
      </c>
      <c r="E49" s="184">
        <v>3000</v>
      </c>
      <c r="F49" s="185">
        <v>3000</v>
      </c>
      <c r="G49" s="186">
        <v>44674</v>
      </c>
      <c r="H49" s="187"/>
    </row>
    <row r="50" customHeight="1" spans="1:8">
      <c r="A50" s="181">
        <v>44674</v>
      </c>
      <c r="B50" s="182">
        <v>16078792</v>
      </c>
      <c r="C50" s="183" t="str">
        <f ca="1">IF(B50&lt;&gt;0,VLOOKUP(Tabla115[[#This Row],[CEDULA]],Tabla5[],2,0)," ")</f>
        <v>JORGE ARMANDO MARIN MARIN</v>
      </c>
      <c r="D50" s="183" t="str">
        <f ca="1">IF(B50&lt;&gt;0,VLOOKUP(Tabla115[[#This Row],[CEDULA]],Tabla5[],3,0)," ")</f>
        <v>FAMA MANTENIMIENTO</v>
      </c>
      <c r="E50" s="184">
        <v>3000</v>
      </c>
      <c r="F50" s="185"/>
      <c r="G50" s="186"/>
      <c r="H50" s="187"/>
    </row>
    <row r="51" hidden="1" customHeight="1" spans="1:8">
      <c r="A51" s="181">
        <v>44611</v>
      </c>
      <c r="B51" s="182">
        <v>9977689</v>
      </c>
      <c r="C51" s="183" t="str">
        <f ca="1">IF(B51&lt;&gt;0,VLOOKUP(Tabla115[[#This Row],[CEDULA]],Tabla5[],2,0)," ")</f>
        <v>ROBINSON ECHEVERRY VALENCIA</v>
      </c>
      <c r="D51" s="183" t="str">
        <f ca="1">IF(B51&lt;&gt;0,VLOOKUP(Tabla115[[#This Row],[CEDULA]],Tabla5[],3,0)," ")</f>
        <v>M Y M - ESPARTANOS</v>
      </c>
      <c r="E51" s="184">
        <v>3000</v>
      </c>
      <c r="F51" s="185">
        <v>3000</v>
      </c>
      <c r="G51" s="186">
        <v>44674</v>
      </c>
      <c r="H51" s="187"/>
    </row>
    <row r="52" customHeight="1" spans="1:8">
      <c r="A52" s="181">
        <v>44646</v>
      </c>
      <c r="B52" s="182">
        <v>75095427</v>
      </c>
      <c r="C52" s="183" t="str">
        <f ca="1">IF(B52&lt;&gt;0,VLOOKUP(Tabla115[[#This Row],[CEDULA]],Tabla5[],2,0)," ")</f>
        <v>EDWIN JIOVANNY LOPEZ PATIÑO</v>
      </c>
      <c r="D52" s="183" t="str">
        <f ca="1">IF(B52&lt;&gt;0,VLOOKUP(Tabla115[[#This Row],[CEDULA]],Tabla5[],3,0)," ")</f>
        <v>JENAVI F.C</v>
      </c>
      <c r="E52" s="184">
        <v>3000</v>
      </c>
      <c r="F52" s="185"/>
      <c r="G52" s="186"/>
      <c r="H52" s="187"/>
    </row>
    <row r="53" customHeight="1" spans="1:8">
      <c r="A53" s="189">
        <v>44660</v>
      </c>
      <c r="B53" s="190">
        <v>75103130</v>
      </c>
      <c r="C53" s="191" t="str">
        <f ca="1">IF(B53&lt;&gt;0,VLOOKUP(Tabla115[[#This Row],[CEDULA]],Tabla5[],2,0)," ")</f>
        <v>MAURICIO BUENO </v>
      </c>
      <c r="D53" s="191" t="str">
        <f ca="1">IF(B53&lt;&gt;0,VLOOKUP(Tabla115[[#This Row],[CEDULA]],Tabla5[],3,0)," ")</f>
        <v>JENAVI F.C</v>
      </c>
      <c r="E53" s="184">
        <v>6000</v>
      </c>
      <c r="F53" s="185"/>
      <c r="G53" s="186"/>
      <c r="H53" s="187">
        <v>2</v>
      </c>
    </row>
    <row r="54" customHeight="1" spans="1:8">
      <c r="A54" s="181">
        <v>44674</v>
      </c>
      <c r="B54" s="182">
        <v>16075760</v>
      </c>
      <c r="C54" s="183" t="str">
        <f ca="1">IF(B54&lt;&gt;0,VLOOKUP(Tabla115[[#This Row],[CEDULA]],Tabla5[],2,0)," ")</f>
        <v>RICARDO ANDRES BARCO CARDONA</v>
      </c>
      <c r="D54" s="183" t="str">
        <f ca="1">IF(B54&lt;&gt;0,VLOOKUP(Tabla115[[#This Row],[CEDULA]],Tabla5[],3,0)," ")</f>
        <v>JENAVI F.C</v>
      </c>
      <c r="E54" s="184">
        <v>3000</v>
      </c>
      <c r="F54" s="185"/>
      <c r="G54" s="186"/>
      <c r="H54" s="187"/>
    </row>
    <row r="55" customHeight="1" spans="1:8">
      <c r="A55" s="181">
        <v>44639</v>
      </c>
      <c r="B55" s="182">
        <v>75089895</v>
      </c>
      <c r="C55" s="183" t="str">
        <f ca="1">IF(B55&lt;&gt;0,VLOOKUP(Tabla115[[#This Row],[CEDULA]],Tabla5[],2,0)," ")</f>
        <v>RODOLFO PINEDA GIRALDO</v>
      </c>
      <c r="D55" s="183" t="str">
        <f ca="1">IF(B55&lt;&gt;0,VLOOKUP(Tabla115[[#This Row],[CEDULA]],Tabla5[],3,0)," ")</f>
        <v>JENAVI F.C</v>
      </c>
      <c r="E55" s="184">
        <v>3000</v>
      </c>
      <c r="F55" s="185"/>
      <c r="G55" s="186"/>
      <c r="H55" s="187"/>
    </row>
    <row r="56" customHeight="1" spans="1:8">
      <c r="A56" s="181">
        <v>44646</v>
      </c>
      <c r="B56" s="182">
        <v>75089895</v>
      </c>
      <c r="C56" s="183" t="str">
        <f ca="1">IF(B56&lt;&gt;0,VLOOKUP(Tabla115[[#This Row],[CEDULA]],Tabla5[],2,0)," ")</f>
        <v>RODOLFO PINEDA GIRALDO</v>
      </c>
      <c r="D56" s="183" t="str">
        <f ca="1">IF(B56&lt;&gt;0,VLOOKUP(Tabla115[[#This Row],[CEDULA]],Tabla5[],3,0)," ")</f>
        <v>JENAVI F.C</v>
      </c>
      <c r="E56" s="184">
        <v>3000</v>
      </c>
      <c r="F56" s="185"/>
      <c r="G56" s="186"/>
      <c r="H56" s="187"/>
    </row>
    <row r="57" customHeight="1" spans="1:8">
      <c r="A57" s="189">
        <v>44660</v>
      </c>
      <c r="B57" s="190">
        <v>75089895</v>
      </c>
      <c r="C57" s="191" t="str">
        <f ca="1">IF(B57&lt;&gt;0,VLOOKUP(Tabla115[[#This Row],[CEDULA]],Tabla5[],2,0)," ")</f>
        <v>RODOLFO PINEDA GIRALDO</v>
      </c>
      <c r="D57" s="191" t="str">
        <f ca="1">IF(B57&lt;&gt;0,VLOOKUP(Tabla115[[#This Row],[CEDULA]],Tabla5[],3,0)," ")</f>
        <v>JENAVI F.C</v>
      </c>
      <c r="E57" s="184">
        <v>6000</v>
      </c>
      <c r="F57" s="185"/>
      <c r="G57" s="186"/>
      <c r="H57" s="187">
        <v>1</v>
      </c>
    </row>
    <row r="58" customHeight="1" spans="1:8">
      <c r="A58" s="181">
        <v>44674</v>
      </c>
      <c r="B58" s="182">
        <v>75102078</v>
      </c>
      <c r="C58" s="183" t="str">
        <f ca="1">IF(B58&lt;&gt;0,VLOOKUP(Tabla115[[#This Row],[CEDULA]],Tabla5[],2,0)," ")</f>
        <v>DARINSON RENTERIA LEMUS</v>
      </c>
      <c r="D58" s="183" t="str">
        <f ca="1">IF(B58&lt;&gt;0,VLOOKUP(Tabla115[[#This Row],[CEDULA]],Tabla5[],3,0)," ")</f>
        <v>M Y M - ESPARTANOS</v>
      </c>
      <c r="E58" s="184">
        <v>3000</v>
      </c>
      <c r="F58" s="185"/>
      <c r="G58" s="186"/>
      <c r="H58" s="187"/>
    </row>
    <row r="59" customHeight="1" spans="1:8">
      <c r="A59" s="181">
        <v>44632</v>
      </c>
      <c r="B59" s="182">
        <v>16090400</v>
      </c>
      <c r="C59" s="183" t="str">
        <f ca="1">IF(B59&lt;&gt;0,VLOOKUP(Tabla115[[#This Row],[CEDULA]],Tabla5[],2,0)," ")</f>
        <v>HERNAN AUGUSTO SALAZAR MAHECHA</v>
      </c>
      <c r="D59" s="183" t="str">
        <f ca="1">IF(B59&lt;&gt;0,VLOOKUP(Tabla115[[#This Row],[CEDULA]],Tabla5[],3,0)," ")</f>
        <v>M Y M - ESPARTANOS</v>
      </c>
      <c r="E59" s="184">
        <v>3000</v>
      </c>
      <c r="F59" s="185"/>
      <c r="G59" s="186"/>
      <c r="H59" s="187"/>
    </row>
    <row r="60" customHeight="1" spans="1:8">
      <c r="A60" s="188">
        <v>44604</v>
      </c>
      <c r="B60" s="192">
        <v>1053771371</v>
      </c>
      <c r="C60" s="193" t="str">
        <f ca="1">IF(B60&lt;&gt;0,VLOOKUP(Tabla115[[#This Row],[CEDULA]],Tabla5[],2,0)," ")</f>
        <v>OSCAR ALEXANDER HERNANDEZ COJO</v>
      </c>
      <c r="D60" s="193" t="str">
        <f ca="1">IF(B60&lt;&gt;0,VLOOKUP(Tabla115[[#This Row],[CEDULA]],Tabla5[],3,0)," ")</f>
        <v>M Y M - ESPARTANOS</v>
      </c>
      <c r="E60" s="185">
        <v>3000</v>
      </c>
      <c r="F60" s="185"/>
      <c r="G60" s="186"/>
      <c r="H60" s="187"/>
    </row>
    <row r="61" customHeight="1" spans="1:8">
      <c r="A61" s="181">
        <v>44674</v>
      </c>
      <c r="B61" s="182">
        <v>75081602</v>
      </c>
      <c r="C61" s="183" t="str">
        <f ca="1">IF(B61&lt;&gt;0,VLOOKUP(Tabla115[[#This Row],[CEDULA]],Tabla5[],2,0)," ")</f>
        <v>LUIS ENRIQUE OCAMPO PEREZ</v>
      </c>
      <c r="D61" s="183" t="str">
        <f ca="1">IF(B61&lt;&gt;0,VLOOKUP(Tabla115[[#This Row],[CEDULA]],Tabla5[],3,0)," ")</f>
        <v>POLIFASE INGENIEIRA</v>
      </c>
      <c r="E61" s="184">
        <v>3000</v>
      </c>
      <c r="F61" s="185"/>
      <c r="G61" s="186"/>
      <c r="H61" s="187"/>
    </row>
    <row r="62" customHeight="1" spans="1:8">
      <c r="A62" s="181">
        <v>44632</v>
      </c>
      <c r="B62" s="182">
        <v>75100864</v>
      </c>
      <c r="C62" s="183" t="str">
        <f ca="1">IF(B62&lt;&gt;0,VLOOKUP(Tabla115[[#This Row],[CEDULA]],Tabla5[],2,0)," ")</f>
        <v>ANDRES GUIOVANNY GONZALEZ OSORIO</v>
      </c>
      <c r="D62" s="183" t="str">
        <f ca="1">IF(B62&lt;&gt;0,VLOOKUP(Tabla115[[#This Row],[CEDULA]],Tabla5[],3,0)," ")</f>
        <v>SAO PAULO TIENDA DE ROPA</v>
      </c>
      <c r="E62" s="184">
        <v>3000</v>
      </c>
      <c r="F62" s="185"/>
      <c r="G62" s="186"/>
      <c r="H62" s="187"/>
    </row>
    <row r="63" customHeight="1" spans="1:8">
      <c r="A63" s="181">
        <v>44625</v>
      </c>
      <c r="B63" s="182">
        <v>16073236</v>
      </c>
      <c r="C63" s="183" t="str">
        <f ca="1">IF(B63&lt;&gt;0,VLOOKUP(Tabla115[[#This Row],[CEDULA]],Tabla5[],2,0)," ")</f>
        <v>ANDRES MAURICIO GRAJALES JIMENEZ</v>
      </c>
      <c r="D63" s="183" t="str">
        <f ca="1">IF(B63&lt;&gt;0,VLOOKUP(Tabla115[[#This Row],[CEDULA]],Tabla5[],3,0)," ")</f>
        <v>SOLDACERO INDUSTRIAL</v>
      </c>
      <c r="E63" s="184">
        <v>3000</v>
      </c>
      <c r="F63" s="185"/>
      <c r="G63" s="186"/>
      <c r="H63" s="187"/>
    </row>
    <row r="64" customHeight="1" spans="1:8">
      <c r="A64" s="181">
        <v>44660</v>
      </c>
      <c r="B64" s="182">
        <v>9977666</v>
      </c>
      <c r="C64" s="183" t="str">
        <f ca="1">IF(B64&lt;&gt;0,VLOOKUP(Tabla115[[#This Row],[CEDULA]],Tabla5[],2,0)," ")</f>
        <v>JUAN PABLO JARAMILLO PENAGOS</v>
      </c>
      <c r="D64" s="183" t="str">
        <f ca="1">IF(B64&lt;&gt;0,VLOOKUP(Tabla115[[#This Row],[CEDULA]],Tabla5[],3,0)," ")</f>
        <v>SOLDACERO INDUSTRIAL</v>
      </c>
      <c r="E64" s="184">
        <v>3000</v>
      </c>
      <c r="F64" s="185"/>
      <c r="G64" s="186"/>
      <c r="H64" s="187"/>
    </row>
    <row r="65" customHeight="1" spans="1:8">
      <c r="A65" s="181">
        <v>44674</v>
      </c>
      <c r="B65" s="182">
        <v>9977666</v>
      </c>
      <c r="C65" s="183" t="str">
        <f ca="1">IF(B65&lt;&gt;0,VLOOKUP(Tabla115[[#This Row],[CEDULA]],Tabla5[],2,0)," ")</f>
        <v>JUAN PABLO JARAMILLO PENAGOS</v>
      </c>
      <c r="D65" s="183" t="str">
        <f ca="1">IF(B65&lt;&gt;0,VLOOKUP(Tabla115[[#This Row],[CEDULA]],Tabla5[],3,0)," ")</f>
        <v>SOLDACERO INDUSTRIAL</v>
      </c>
      <c r="E65" s="184">
        <v>6000</v>
      </c>
      <c r="F65" s="185"/>
      <c r="G65" s="186"/>
      <c r="H65" s="187">
        <v>1</v>
      </c>
    </row>
    <row r="66" customHeight="1" spans="1:8">
      <c r="A66" s="189">
        <v>44660</v>
      </c>
      <c r="B66" s="190">
        <v>16079290</v>
      </c>
      <c r="C66" s="191" t="str">
        <f ca="1">IF(B66&lt;&gt;0,VLOOKUP(Tabla115[[#This Row],[CEDULA]],Tabla5[],2,0)," ")</f>
        <v>ORLANDO ARANGO ALVARAN</v>
      </c>
      <c r="D66" s="191" t="str">
        <f ca="1">IF(B66&lt;&gt;0,VLOOKUP(Tabla115[[#This Row],[CEDULA]],Tabla5[],3,0)," ")</f>
        <v>SOLDACERO INDUSTRIAL</v>
      </c>
      <c r="E66" s="184">
        <v>6000</v>
      </c>
      <c r="F66" s="185"/>
      <c r="G66" s="186"/>
      <c r="H66" s="187">
        <v>2</v>
      </c>
    </row>
    <row r="67" customHeight="1" spans="1:8">
      <c r="A67" s="189">
        <v>44660</v>
      </c>
      <c r="B67" s="190">
        <v>16076618</v>
      </c>
      <c r="C67" s="191" t="str">
        <f ca="1">IF(B67&lt;&gt;0,VLOOKUP(Tabla115[[#This Row],[CEDULA]],Tabla5[],2,0)," ")</f>
        <v>RUBEN DARIO FLOREZ ALVARAN</v>
      </c>
      <c r="D67" s="191" t="str">
        <f ca="1">IF(B67&lt;&gt;0,VLOOKUP(Tabla115[[#This Row],[CEDULA]],Tabla5[],3,0)," ")</f>
        <v>SOLDACERO INDUSTRIAL</v>
      </c>
      <c r="E67" s="184">
        <v>6000</v>
      </c>
      <c r="F67" s="185"/>
      <c r="G67" s="186"/>
      <c r="H67" s="187">
        <v>1</v>
      </c>
    </row>
    <row r="68" customHeight="1" spans="1:8">
      <c r="A68" s="181">
        <v>44674</v>
      </c>
      <c r="B68" s="182">
        <v>16076618</v>
      </c>
      <c r="C68" s="183" t="str">
        <f ca="1">IF(B68&lt;&gt;0,VLOOKUP(Tabla115[[#This Row],[CEDULA]],Tabla5[],2,0)," ")</f>
        <v>RUBEN DARIO FLOREZ ALVARAN</v>
      </c>
      <c r="D68" s="183" t="str">
        <f ca="1">IF(B68&lt;&gt;0,VLOOKUP(Tabla115[[#This Row],[CEDULA]],Tabla5[],3,0)," ")</f>
        <v>SOLDACERO INDUSTRIAL</v>
      </c>
      <c r="E68" s="184">
        <v>3000</v>
      </c>
      <c r="F68" s="185"/>
      <c r="G68" s="186"/>
      <c r="H68" s="187"/>
    </row>
    <row r="69" customHeight="1" spans="1:8">
      <c r="A69" s="189">
        <v>44625</v>
      </c>
      <c r="B69" s="190">
        <v>75079576</v>
      </c>
      <c r="C69" s="191" t="str">
        <f ca="1">IF(B69&lt;&gt;0,VLOOKUP(Tabla115[[#This Row],[CEDULA]],Tabla5[],2,0)," ")</f>
        <v>VICTOR HUGO GIRALDO ARANGO</v>
      </c>
      <c r="D69" s="191" t="str">
        <f ca="1">IF(B69&lt;&gt;0,VLOOKUP(Tabla115[[#This Row],[CEDULA]],Tabla5[],3,0)," ")</f>
        <v>SOLDACERO INDUSTRIAL</v>
      </c>
      <c r="E69" s="184">
        <v>6000</v>
      </c>
      <c r="F69" s="185"/>
      <c r="G69" s="186"/>
      <c r="H69" s="187"/>
    </row>
  </sheetData>
  <sheetProtection formatCells="0" formatColumns="0" formatRows="0" insertRows="0" insertColumns="0" sort="0" autoFilter="0" pivotTables="0"/>
  <protectedRanges>
    <protectedRange algorithmName="SHA-512" hashValue="6xHqSa0jx9BZQ0H3d5v/Wkc/PqmduM3VU5PWE3N2BcEHBk1Xa2M9SyYKQexIBM6HVIwU1IiDCrxczWdpRrhbjg==" saltValue="3yVsfSHzQOtOTuFSmXVt+g==" spinCount="100000" sqref="A1" name="TITULO"/>
    <protectedRange algorithmName="SHA-512" hashValue="rgL0fxx1oTtaF8ju7zuI0nX3hwTawkX/108BbOrdvHuOqPKRKiDLcpVFpBPND8VfxwEZEqUSfBU7uMEzWsVWgQ==" saltValue="Brs3/v1UqHEDnkLW0W5sQA==" spinCount="100000" sqref="E6:H68;A6:B68;A69:B69;E69:H69" name="TABLA"/>
  </protectedRanges>
  <mergeCells count="1">
    <mergeCell ref="A1:H2"/>
  </mergeCells>
  <conditionalFormatting sqref="F4;E3:E1048576">
    <cfRule type="cellIs" dxfId="18" priority="3" operator="equal">
      <formula>6000</formula>
    </cfRule>
    <cfRule type="cellIs" dxfId="19" priority="4" operator="equal">
      <formula>3000</formula>
    </cfRule>
  </conditionalFormatting>
  <dataValidations count="1">
    <dataValidation allowBlank="1" showInputMessage="1" showErrorMessage="1" sqref="E6:E69"/>
  </dataValidations>
  <pageMargins left="0.236220472440945" right="0.236220472440945" top="4.33070866141732" bottom="0.196850393700787" header="0.31496062992126" footer="0.31496062992126"/>
  <pageSetup paperSize="1" orientation="portrait" horizontalDpi="300" verticalDpi="300"/>
  <headerFooter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01"/>
  <dimension ref="H3:R70"/>
  <sheetViews>
    <sheetView showGridLines="0" workbookViewId="0">
      <selection activeCell="A1" sqref="A1"/>
    </sheetView>
  </sheetViews>
  <sheetFormatPr defaultColWidth="11" defaultRowHeight="14.4"/>
  <cols>
    <col min="1" max="7" width="11.4259259259259" style="155"/>
    <col min="8" max="8" width="4.13888888888889" style="155" customWidth="1"/>
    <col min="9" max="9" width="50.1388888888889" style="155" customWidth="1"/>
    <col min="10" max="10" width="5.71296296296296" style="155" customWidth="1"/>
    <col min="11" max="11" width="5.13888888888889" style="155" customWidth="1"/>
    <col min="12" max="12" width="4.71296296296296" style="155" customWidth="1"/>
    <col min="13" max="13" width="4.85185185185185" style="155" customWidth="1"/>
    <col min="14" max="14" width="5" style="155" customWidth="1"/>
    <col min="15" max="15" width="5.13888888888889" style="155" customWidth="1"/>
    <col min="16" max="16" width="5.42592592592593" style="156" customWidth="1"/>
    <col min="17" max="17" width="7.42592592592593" style="156" customWidth="1"/>
    <col min="18" max="18" width="7.13888888888889" style="155" customWidth="1"/>
    <col min="19" max="19" width="11.4259259259259" style="155"/>
    <col min="20" max="20" width="4.13888888888889" style="155" customWidth="1"/>
    <col min="21" max="21" width="45.712962962963" style="155" customWidth="1"/>
    <col min="22" max="22" width="4.28703703703704" style="155" customWidth="1"/>
    <col min="23" max="23" width="5.13888888888889" style="155" customWidth="1"/>
    <col min="24" max="24" width="4.71296296296296" style="155" customWidth="1"/>
    <col min="25" max="25" width="4.85185185185185" style="155" customWidth="1"/>
    <col min="26" max="26" width="5" style="155" customWidth="1"/>
    <col min="27" max="27" width="5.13888888888889" style="155" customWidth="1"/>
    <col min="28" max="28" width="5.42592592592593" style="155" customWidth="1"/>
    <col min="29" max="29" width="7.13888888888889" style="155" customWidth="1"/>
    <col min="30" max="16384" width="11.4259259259259" style="155"/>
  </cols>
  <sheetData>
    <row r="3" ht="15.15"/>
    <row r="4" ht="18.75" spans="9:18">
      <c r="I4" s="159" t="s">
        <v>74</v>
      </c>
      <c r="J4" s="160"/>
      <c r="K4" s="160"/>
      <c r="L4" s="160"/>
      <c r="M4" s="160"/>
      <c r="N4" s="160"/>
      <c r="O4" s="160"/>
      <c r="P4" s="160"/>
      <c r="Q4" s="160"/>
      <c r="R4" s="167"/>
    </row>
    <row r="5" ht="18.75" spans="9:18">
      <c r="I5" s="161" t="s">
        <v>2</v>
      </c>
      <c r="J5" s="162" t="s">
        <v>26</v>
      </c>
      <c r="K5" s="162" t="s">
        <v>27</v>
      </c>
      <c r="L5" s="162" t="s">
        <v>28</v>
      </c>
      <c r="M5" s="162" t="s">
        <v>29</v>
      </c>
      <c r="N5" s="162" t="s">
        <v>30</v>
      </c>
      <c r="O5" s="162" t="s">
        <v>31</v>
      </c>
      <c r="P5" s="162" t="s">
        <v>32</v>
      </c>
      <c r="Q5" s="162" t="s">
        <v>33</v>
      </c>
      <c r="R5" s="162" t="s">
        <v>34</v>
      </c>
    </row>
    <row r="6" ht="18.75" spans="8:18">
      <c r="H6" s="157">
        <v>1</v>
      </c>
      <c r="I6" s="163"/>
      <c r="J6" s="164"/>
      <c r="K6" s="164"/>
      <c r="L6" s="164"/>
      <c r="M6" s="164"/>
      <c r="N6" s="164"/>
      <c r="O6" s="164"/>
      <c r="P6" s="164">
        <f t="shared" ref="P6:P32" si="0">N6-O6</f>
        <v>0</v>
      </c>
      <c r="Q6" s="168" t="e">
        <f t="shared" ref="Q6:Q32" si="1">O6/J6</f>
        <v>#DIV/0!</v>
      </c>
      <c r="R6" s="164">
        <f t="shared" ref="R6:R32" si="2">(K6*3)+L6</f>
        <v>0</v>
      </c>
    </row>
    <row r="7" ht="18.75" spans="8:18">
      <c r="H7" s="158">
        <v>2</v>
      </c>
      <c r="I7" s="163"/>
      <c r="J7" s="164"/>
      <c r="K7" s="164"/>
      <c r="L7" s="164"/>
      <c r="M7" s="164"/>
      <c r="N7" s="164"/>
      <c r="O7" s="164"/>
      <c r="P7" s="164">
        <f t="shared" si="0"/>
        <v>0</v>
      </c>
      <c r="Q7" s="168" t="e">
        <f t="shared" si="1"/>
        <v>#DIV/0!</v>
      </c>
      <c r="R7" s="164">
        <f t="shared" si="2"/>
        <v>0</v>
      </c>
    </row>
    <row r="8" ht="18.75" spans="8:18">
      <c r="H8" s="157">
        <v>3</v>
      </c>
      <c r="I8" s="163"/>
      <c r="J8" s="164"/>
      <c r="K8" s="164"/>
      <c r="L8" s="164"/>
      <c r="M8" s="164"/>
      <c r="N8" s="164"/>
      <c r="O8" s="164"/>
      <c r="P8" s="164">
        <f t="shared" si="0"/>
        <v>0</v>
      </c>
      <c r="Q8" s="168" t="e">
        <f t="shared" si="1"/>
        <v>#DIV/0!</v>
      </c>
      <c r="R8" s="164">
        <f t="shared" si="2"/>
        <v>0</v>
      </c>
    </row>
    <row r="9" ht="18.75" spans="8:18">
      <c r="H9" s="158">
        <v>4</v>
      </c>
      <c r="I9" s="165"/>
      <c r="J9" s="166"/>
      <c r="K9" s="166"/>
      <c r="L9" s="166"/>
      <c r="M9" s="166"/>
      <c r="N9" s="166"/>
      <c r="O9" s="166"/>
      <c r="P9" s="164">
        <f t="shared" si="0"/>
        <v>0</v>
      </c>
      <c r="Q9" s="168" t="e">
        <f t="shared" si="1"/>
        <v>#DIV/0!</v>
      </c>
      <c r="R9" s="164">
        <f t="shared" si="2"/>
        <v>0</v>
      </c>
    </row>
    <row r="10" ht="18.75" spans="8:18">
      <c r="H10" s="157">
        <v>5</v>
      </c>
      <c r="I10" s="163"/>
      <c r="J10" s="164"/>
      <c r="K10" s="164"/>
      <c r="L10" s="164"/>
      <c r="M10" s="164"/>
      <c r="N10" s="164"/>
      <c r="O10" s="164"/>
      <c r="P10" s="164">
        <f t="shared" si="0"/>
        <v>0</v>
      </c>
      <c r="Q10" s="168" t="e">
        <f t="shared" si="1"/>
        <v>#DIV/0!</v>
      </c>
      <c r="R10" s="164">
        <f t="shared" si="2"/>
        <v>0</v>
      </c>
    </row>
    <row r="11" ht="18.75" spans="8:18">
      <c r="H11" s="158">
        <v>6</v>
      </c>
      <c r="I11" s="163"/>
      <c r="J11" s="164"/>
      <c r="K11" s="164"/>
      <c r="L11" s="164"/>
      <c r="M11" s="164"/>
      <c r="N11" s="164"/>
      <c r="O11" s="164"/>
      <c r="P11" s="164">
        <f t="shared" si="0"/>
        <v>0</v>
      </c>
      <c r="Q11" s="168" t="e">
        <f t="shared" si="1"/>
        <v>#DIV/0!</v>
      </c>
      <c r="R11" s="164">
        <f t="shared" si="2"/>
        <v>0</v>
      </c>
    </row>
    <row r="12" ht="18.75" spans="8:18">
      <c r="H12" s="157">
        <v>7</v>
      </c>
      <c r="I12" s="165"/>
      <c r="J12" s="166"/>
      <c r="K12" s="166"/>
      <c r="L12" s="166"/>
      <c r="M12" s="166"/>
      <c r="N12" s="166"/>
      <c r="O12" s="166"/>
      <c r="P12" s="164">
        <f t="shared" si="0"/>
        <v>0</v>
      </c>
      <c r="Q12" s="168" t="e">
        <f t="shared" si="1"/>
        <v>#DIV/0!</v>
      </c>
      <c r="R12" s="164">
        <f t="shared" si="2"/>
        <v>0</v>
      </c>
    </row>
    <row r="13" ht="18.75" spans="8:18">
      <c r="H13" s="158">
        <v>8</v>
      </c>
      <c r="I13" s="163"/>
      <c r="J13" s="164"/>
      <c r="K13" s="164"/>
      <c r="L13" s="164"/>
      <c r="M13" s="164"/>
      <c r="N13" s="164"/>
      <c r="O13" s="164"/>
      <c r="P13" s="164">
        <f t="shared" si="0"/>
        <v>0</v>
      </c>
      <c r="Q13" s="168" t="e">
        <f t="shared" si="1"/>
        <v>#DIV/0!</v>
      </c>
      <c r="R13" s="164">
        <f t="shared" si="2"/>
        <v>0</v>
      </c>
    </row>
    <row r="14" ht="18.75" spans="8:18">
      <c r="H14" s="157">
        <v>9</v>
      </c>
      <c r="I14" s="163"/>
      <c r="J14" s="164"/>
      <c r="K14" s="164"/>
      <c r="L14" s="164"/>
      <c r="M14" s="164"/>
      <c r="N14" s="164"/>
      <c r="O14" s="164"/>
      <c r="P14" s="164">
        <f t="shared" si="0"/>
        <v>0</v>
      </c>
      <c r="Q14" s="168" t="e">
        <f t="shared" si="1"/>
        <v>#DIV/0!</v>
      </c>
      <c r="R14" s="164">
        <f t="shared" si="2"/>
        <v>0</v>
      </c>
    </row>
    <row r="15" ht="18.75" spans="8:18">
      <c r="H15" s="158">
        <v>10</v>
      </c>
      <c r="I15" s="165"/>
      <c r="J15" s="166"/>
      <c r="K15" s="166"/>
      <c r="L15" s="166"/>
      <c r="M15" s="166"/>
      <c r="N15" s="166"/>
      <c r="O15" s="166"/>
      <c r="P15" s="164">
        <f t="shared" si="0"/>
        <v>0</v>
      </c>
      <c r="Q15" s="168" t="e">
        <f t="shared" si="1"/>
        <v>#DIV/0!</v>
      </c>
      <c r="R15" s="164">
        <f t="shared" si="2"/>
        <v>0</v>
      </c>
    </row>
    <row r="16" ht="18.75" spans="8:18">
      <c r="H16" s="157">
        <v>11</v>
      </c>
      <c r="I16" s="163"/>
      <c r="J16" s="164"/>
      <c r="K16" s="164"/>
      <c r="L16" s="164"/>
      <c r="M16" s="164"/>
      <c r="N16" s="164"/>
      <c r="O16" s="164"/>
      <c r="P16" s="164">
        <f t="shared" si="0"/>
        <v>0</v>
      </c>
      <c r="Q16" s="168" t="e">
        <f t="shared" si="1"/>
        <v>#DIV/0!</v>
      </c>
      <c r="R16" s="164">
        <f t="shared" si="2"/>
        <v>0</v>
      </c>
    </row>
    <row r="17" ht="18.75" spans="8:18">
      <c r="H17" s="158">
        <v>12</v>
      </c>
      <c r="I17" s="165"/>
      <c r="J17" s="166"/>
      <c r="K17" s="166"/>
      <c r="L17" s="166"/>
      <c r="M17" s="166"/>
      <c r="N17" s="166"/>
      <c r="O17" s="166"/>
      <c r="P17" s="164">
        <f t="shared" si="0"/>
        <v>0</v>
      </c>
      <c r="Q17" s="168" t="e">
        <f t="shared" si="1"/>
        <v>#DIV/0!</v>
      </c>
      <c r="R17" s="164">
        <f t="shared" si="2"/>
        <v>0</v>
      </c>
    </row>
    <row r="18" ht="18.75" spans="8:18">
      <c r="H18" s="157">
        <v>13</v>
      </c>
      <c r="I18" s="165"/>
      <c r="J18" s="166"/>
      <c r="K18" s="166"/>
      <c r="L18" s="166"/>
      <c r="M18" s="166"/>
      <c r="N18" s="166"/>
      <c r="O18" s="166"/>
      <c r="P18" s="164">
        <f t="shared" si="0"/>
        <v>0</v>
      </c>
      <c r="Q18" s="168" t="e">
        <f t="shared" si="1"/>
        <v>#DIV/0!</v>
      </c>
      <c r="R18" s="164">
        <f t="shared" si="2"/>
        <v>0</v>
      </c>
    </row>
    <row r="19" ht="18.75" spans="8:18">
      <c r="H19" s="158">
        <v>14</v>
      </c>
      <c r="I19" s="163"/>
      <c r="J19" s="164"/>
      <c r="K19" s="164"/>
      <c r="L19" s="164"/>
      <c r="M19" s="164"/>
      <c r="N19" s="164"/>
      <c r="O19" s="164"/>
      <c r="P19" s="164">
        <f t="shared" si="0"/>
        <v>0</v>
      </c>
      <c r="Q19" s="168" t="e">
        <f t="shared" si="1"/>
        <v>#DIV/0!</v>
      </c>
      <c r="R19" s="164">
        <f t="shared" si="2"/>
        <v>0</v>
      </c>
    </row>
    <row r="20" ht="18.75" spans="8:18">
      <c r="H20" s="157">
        <v>15</v>
      </c>
      <c r="I20" s="163"/>
      <c r="J20" s="164"/>
      <c r="K20" s="164"/>
      <c r="L20" s="164"/>
      <c r="M20" s="164"/>
      <c r="N20" s="164"/>
      <c r="O20" s="164"/>
      <c r="P20" s="164">
        <f t="shared" si="0"/>
        <v>0</v>
      </c>
      <c r="Q20" s="168" t="e">
        <f t="shared" si="1"/>
        <v>#DIV/0!</v>
      </c>
      <c r="R20" s="164">
        <f t="shared" si="2"/>
        <v>0</v>
      </c>
    </row>
    <row r="21" ht="18.75" spans="8:18">
      <c r="H21" s="158">
        <v>16</v>
      </c>
      <c r="I21" s="163"/>
      <c r="J21" s="164"/>
      <c r="K21" s="164"/>
      <c r="L21" s="164"/>
      <c r="M21" s="164"/>
      <c r="N21" s="164"/>
      <c r="O21" s="164"/>
      <c r="P21" s="164">
        <f t="shared" si="0"/>
        <v>0</v>
      </c>
      <c r="Q21" s="168" t="e">
        <f t="shared" si="1"/>
        <v>#DIV/0!</v>
      </c>
      <c r="R21" s="164">
        <f t="shared" si="2"/>
        <v>0</v>
      </c>
    </row>
    <row r="22" ht="18.75" spans="8:18">
      <c r="H22" s="157">
        <v>17</v>
      </c>
      <c r="I22" s="165"/>
      <c r="J22" s="166"/>
      <c r="K22" s="166"/>
      <c r="L22" s="166"/>
      <c r="M22" s="166"/>
      <c r="N22" s="166"/>
      <c r="O22" s="166"/>
      <c r="P22" s="164">
        <f t="shared" si="0"/>
        <v>0</v>
      </c>
      <c r="Q22" s="168" t="e">
        <f t="shared" si="1"/>
        <v>#DIV/0!</v>
      </c>
      <c r="R22" s="164">
        <f t="shared" si="2"/>
        <v>0</v>
      </c>
    </row>
    <row r="23" ht="18.75" spans="8:18">
      <c r="H23" s="158">
        <v>18</v>
      </c>
      <c r="I23" s="163"/>
      <c r="J23" s="164"/>
      <c r="K23" s="164"/>
      <c r="L23" s="164"/>
      <c r="M23" s="164"/>
      <c r="N23" s="164"/>
      <c r="O23" s="164"/>
      <c r="P23" s="164">
        <f t="shared" si="0"/>
        <v>0</v>
      </c>
      <c r="Q23" s="168" t="e">
        <f t="shared" si="1"/>
        <v>#DIV/0!</v>
      </c>
      <c r="R23" s="164">
        <f t="shared" si="2"/>
        <v>0</v>
      </c>
    </row>
    <row r="24" ht="18.75" spans="8:18">
      <c r="H24" s="157">
        <v>19</v>
      </c>
      <c r="I24" s="165"/>
      <c r="J24" s="166"/>
      <c r="K24" s="166"/>
      <c r="L24" s="166"/>
      <c r="M24" s="166"/>
      <c r="N24" s="166"/>
      <c r="O24" s="166"/>
      <c r="P24" s="164">
        <f t="shared" si="0"/>
        <v>0</v>
      </c>
      <c r="Q24" s="168" t="e">
        <f t="shared" si="1"/>
        <v>#DIV/0!</v>
      </c>
      <c r="R24" s="164">
        <f t="shared" si="2"/>
        <v>0</v>
      </c>
    </row>
    <row r="25" ht="18.75" spans="8:18">
      <c r="H25" s="158">
        <v>20</v>
      </c>
      <c r="I25" s="163"/>
      <c r="J25" s="164"/>
      <c r="K25" s="164"/>
      <c r="L25" s="164"/>
      <c r="M25" s="164"/>
      <c r="N25" s="164"/>
      <c r="O25" s="164"/>
      <c r="P25" s="164">
        <f t="shared" si="0"/>
        <v>0</v>
      </c>
      <c r="Q25" s="168" t="e">
        <f t="shared" si="1"/>
        <v>#DIV/0!</v>
      </c>
      <c r="R25" s="164">
        <f t="shared" si="2"/>
        <v>0</v>
      </c>
    </row>
    <row r="26" ht="18.75" spans="8:18">
      <c r="H26" s="157">
        <v>21</v>
      </c>
      <c r="I26" s="163"/>
      <c r="J26" s="164"/>
      <c r="K26" s="164"/>
      <c r="L26" s="164"/>
      <c r="M26" s="164"/>
      <c r="N26" s="164"/>
      <c r="O26" s="164"/>
      <c r="P26" s="164">
        <f t="shared" si="0"/>
        <v>0</v>
      </c>
      <c r="Q26" s="168" t="e">
        <f t="shared" si="1"/>
        <v>#DIV/0!</v>
      </c>
      <c r="R26" s="164">
        <f t="shared" si="2"/>
        <v>0</v>
      </c>
    </row>
    <row r="27" ht="18.75" spans="8:18">
      <c r="H27" s="158">
        <v>22</v>
      </c>
      <c r="I27" s="163"/>
      <c r="J27" s="164"/>
      <c r="K27" s="164"/>
      <c r="L27" s="164"/>
      <c r="M27" s="164"/>
      <c r="N27" s="164"/>
      <c r="O27" s="164"/>
      <c r="P27" s="164">
        <f t="shared" si="0"/>
        <v>0</v>
      </c>
      <c r="Q27" s="168" t="e">
        <f t="shared" si="1"/>
        <v>#DIV/0!</v>
      </c>
      <c r="R27" s="164">
        <f t="shared" si="2"/>
        <v>0</v>
      </c>
    </row>
    <row r="28" ht="18.75" spans="8:18">
      <c r="H28" s="157">
        <v>23</v>
      </c>
      <c r="I28" s="163"/>
      <c r="J28" s="164"/>
      <c r="K28" s="164"/>
      <c r="L28" s="164"/>
      <c r="M28" s="164"/>
      <c r="N28" s="164"/>
      <c r="O28" s="164"/>
      <c r="P28" s="164">
        <f t="shared" si="0"/>
        <v>0</v>
      </c>
      <c r="Q28" s="168" t="e">
        <f t="shared" si="1"/>
        <v>#DIV/0!</v>
      </c>
      <c r="R28" s="164">
        <f t="shared" si="2"/>
        <v>0</v>
      </c>
    </row>
    <row r="29" ht="18.75" spans="8:18">
      <c r="H29" s="158">
        <v>24</v>
      </c>
      <c r="I29" s="163"/>
      <c r="J29" s="164"/>
      <c r="K29" s="164"/>
      <c r="L29" s="164"/>
      <c r="M29" s="164"/>
      <c r="N29" s="164"/>
      <c r="O29" s="164"/>
      <c r="P29" s="164">
        <f t="shared" si="0"/>
        <v>0</v>
      </c>
      <c r="Q29" s="168" t="e">
        <f t="shared" si="1"/>
        <v>#DIV/0!</v>
      </c>
      <c r="R29" s="164">
        <f t="shared" si="2"/>
        <v>0</v>
      </c>
    </row>
    <row r="30" ht="18.75" spans="8:18">
      <c r="H30" s="157">
        <v>25</v>
      </c>
      <c r="I30" s="165"/>
      <c r="J30" s="166"/>
      <c r="K30" s="166"/>
      <c r="L30" s="166"/>
      <c r="M30" s="166"/>
      <c r="N30" s="166"/>
      <c r="O30" s="166"/>
      <c r="P30" s="164">
        <f t="shared" si="0"/>
        <v>0</v>
      </c>
      <c r="Q30" s="168" t="e">
        <f t="shared" si="1"/>
        <v>#DIV/0!</v>
      </c>
      <c r="R30" s="164">
        <f t="shared" si="2"/>
        <v>0</v>
      </c>
    </row>
    <row r="31" ht="18.75" spans="8:18">
      <c r="H31" s="158">
        <v>26</v>
      </c>
      <c r="I31" s="163"/>
      <c r="J31" s="164"/>
      <c r="K31" s="164"/>
      <c r="L31" s="164"/>
      <c r="M31" s="164"/>
      <c r="N31" s="164"/>
      <c r="O31" s="164"/>
      <c r="P31" s="164">
        <f t="shared" si="0"/>
        <v>0</v>
      </c>
      <c r="Q31" s="168" t="e">
        <f t="shared" si="1"/>
        <v>#DIV/0!</v>
      </c>
      <c r="R31" s="164">
        <f t="shared" si="2"/>
        <v>0</v>
      </c>
    </row>
    <row r="32" ht="18.75" spans="8:18">
      <c r="H32" s="157">
        <v>27</v>
      </c>
      <c r="I32" s="163"/>
      <c r="J32" s="164"/>
      <c r="K32" s="164"/>
      <c r="L32" s="164"/>
      <c r="M32" s="164"/>
      <c r="N32" s="164"/>
      <c r="O32" s="164"/>
      <c r="P32" s="164">
        <f t="shared" si="0"/>
        <v>0</v>
      </c>
      <c r="Q32" s="168" t="e">
        <f t="shared" si="1"/>
        <v>#DIV/0!</v>
      </c>
      <c r="R32" s="164">
        <f t="shared" si="2"/>
        <v>0</v>
      </c>
    </row>
    <row r="33" ht="18.75" spans="8:18">
      <c r="H33" s="158">
        <v>28</v>
      </c>
      <c r="I33" s="163"/>
      <c r="J33" s="164"/>
      <c r="K33" s="164"/>
      <c r="L33" s="164"/>
      <c r="M33" s="164"/>
      <c r="N33" s="164"/>
      <c r="O33" s="164"/>
      <c r="P33" s="164">
        <f t="shared" ref="P33:P54" si="3">N33-O33</f>
        <v>0</v>
      </c>
      <c r="Q33" s="168" t="e">
        <f t="shared" ref="Q33:Q54" si="4">O33/J33</f>
        <v>#DIV/0!</v>
      </c>
      <c r="R33" s="164">
        <f t="shared" ref="R33:R54" si="5">(K33*3)+L33</f>
        <v>0</v>
      </c>
    </row>
    <row r="34" ht="18.75" spans="8:18">
      <c r="H34" s="157">
        <v>29</v>
      </c>
      <c r="I34" s="163"/>
      <c r="J34" s="164"/>
      <c r="K34" s="164"/>
      <c r="L34" s="164"/>
      <c r="M34" s="164"/>
      <c r="N34" s="164"/>
      <c r="O34" s="164"/>
      <c r="P34" s="164">
        <f t="shared" si="3"/>
        <v>0</v>
      </c>
      <c r="Q34" s="168" t="e">
        <f t="shared" si="4"/>
        <v>#DIV/0!</v>
      </c>
      <c r="R34" s="164">
        <f t="shared" si="5"/>
        <v>0</v>
      </c>
    </row>
    <row r="35" ht="18.75" spans="8:18">
      <c r="H35" s="158">
        <v>30</v>
      </c>
      <c r="I35" s="163"/>
      <c r="J35" s="164"/>
      <c r="K35" s="164"/>
      <c r="L35" s="164"/>
      <c r="M35" s="164"/>
      <c r="N35" s="164"/>
      <c r="O35" s="164"/>
      <c r="P35" s="164">
        <f t="shared" si="3"/>
        <v>0</v>
      </c>
      <c r="Q35" s="168" t="e">
        <f t="shared" si="4"/>
        <v>#DIV/0!</v>
      </c>
      <c r="R35" s="164">
        <f t="shared" si="5"/>
        <v>0</v>
      </c>
    </row>
    <row r="36" ht="18.75" spans="8:18">
      <c r="H36" s="157">
        <v>31</v>
      </c>
      <c r="I36" s="163"/>
      <c r="J36" s="164"/>
      <c r="K36" s="164"/>
      <c r="L36" s="164"/>
      <c r="M36" s="164"/>
      <c r="N36" s="164"/>
      <c r="O36" s="164"/>
      <c r="P36" s="164">
        <f t="shared" si="3"/>
        <v>0</v>
      </c>
      <c r="Q36" s="168" t="e">
        <f t="shared" si="4"/>
        <v>#DIV/0!</v>
      </c>
      <c r="R36" s="164">
        <f t="shared" si="5"/>
        <v>0</v>
      </c>
    </row>
    <row r="37" ht="18.75" spans="8:18">
      <c r="H37" s="158">
        <v>32</v>
      </c>
      <c r="I37" s="163"/>
      <c r="J37" s="164"/>
      <c r="K37" s="164"/>
      <c r="L37" s="164"/>
      <c r="M37" s="164"/>
      <c r="N37" s="164"/>
      <c r="O37" s="164"/>
      <c r="P37" s="164">
        <f t="shared" si="3"/>
        <v>0</v>
      </c>
      <c r="Q37" s="168" t="e">
        <f t="shared" si="4"/>
        <v>#DIV/0!</v>
      </c>
      <c r="R37" s="164">
        <f t="shared" si="5"/>
        <v>0</v>
      </c>
    </row>
    <row r="38" ht="18.75" spans="8:18">
      <c r="H38" s="157">
        <v>33</v>
      </c>
      <c r="I38" s="163"/>
      <c r="J38" s="164"/>
      <c r="K38" s="164"/>
      <c r="L38" s="164"/>
      <c r="M38" s="164"/>
      <c r="N38" s="164"/>
      <c r="O38" s="164"/>
      <c r="P38" s="164">
        <f t="shared" si="3"/>
        <v>0</v>
      </c>
      <c r="Q38" s="168" t="e">
        <f t="shared" si="4"/>
        <v>#DIV/0!</v>
      </c>
      <c r="R38" s="164">
        <f t="shared" si="5"/>
        <v>0</v>
      </c>
    </row>
    <row r="39" ht="18.75" spans="8:18">
      <c r="H39" s="158">
        <v>34</v>
      </c>
      <c r="I39" s="163"/>
      <c r="J39" s="164"/>
      <c r="K39" s="164"/>
      <c r="L39" s="164"/>
      <c r="M39" s="164"/>
      <c r="N39" s="164"/>
      <c r="O39" s="164"/>
      <c r="P39" s="164">
        <f t="shared" si="3"/>
        <v>0</v>
      </c>
      <c r="Q39" s="168" t="e">
        <f t="shared" si="4"/>
        <v>#DIV/0!</v>
      </c>
      <c r="R39" s="164">
        <f t="shared" si="5"/>
        <v>0</v>
      </c>
    </row>
    <row r="40" ht="18.75" spans="8:18">
      <c r="H40" s="157">
        <v>35</v>
      </c>
      <c r="I40" s="163"/>
      <c r="J40" s="164"/>
      <c r="K40" s="164"/>
      <c r="L40" s="164"/>
      <c r="M40" s="164"/>
      <c r="N40" s="164"/>
      <c r="O40" s="164"/>
      <c r="P40" s="164">
        <f t="shared" si="3"/>
        <v>0</v>
      </c>
      <c r="Q40" s="168" t="e">
        <f t="shared" si="4"/>
        <v>#DIV/0!</v>
      </c>
      <c r="R40" s="164">
        <f t="shared" si="5"/>
        <v>0</v>
      </c>
    </row>
    <row r="41" ht="18.75" spans="8:18">
      <c r="H41" s="158">
        <v>36</v>
      </c>
      <c r="I41" s="163"/>
      <c r="J41" s="164"/>
      <c r="K41" s="164"/>
      <c r="L41" s="164"/>
      <c r="M41" s="164"/>
      <c r="N41" s="164"/>
      <c r="O41" s="164"/>
      <c r="P41" s="164">
        <f t="shared" si="3"/>
        <v>0</v>
      </c>
      <c r="Q41" s="168" t="e">
        <f t="shared" si="4"/>
        <v>#DIV/0!</v>
      </c>
      <c r="R41" s="164">
        <f t="shared" si="5"/>
        <v>0</v>
      </c>
    </row>
    <row r="42" ht="18.75" spans="8:18">
      <c r="H42" s="157">
        <v>37</v>
      </c>
      <c r="I42" s="163"/>
      <c r="J42" s="164"/>
      <c r="K42" s="164"/>
      <c r="L42" s="164"/>
      <c r="M42" s="164"/>
      <c r="N42" s="164"/>
      <c r="O42" s="164"/>
      <c r="P42" s="164">
        <f t="shared" si="3"/>
        <v>0</v>
      </c>
      <c r="Q42" s="168" t="e">
        <f t="shared" si="4"/>
        <v>#DIV/0!</v>
      </c>
      <c r="R42" s="164">
        <f t="shared" si="5"/>
        <v>0</v>
      </c>
    </row>
    <row r="43" ht="18.75" spans="8:18">
      <c r="H43" s="158">
        <v>38</v>
      </c>
      <c r="I43" s="163"/>
      <c r="J43" s="164"/>
      <c r="K43" s="164"/>
      <c r="L43" s="164"/>
      <c r="M43" s="164"/>
      <c r="N43" s="164"/>
      <c r="O43" s="164"/>
      <c r="P43" s="164">
        <f t="shared" si="3"/>
        <v>0</v>
      </c>
      <c r="Q43" s="168" t="e">
        <f t="shared" si="4"/>
        <v>#DIV/0!</v>
      </c>
      <c r="R43" s="164">
        <f t="shared" si="5"/>
        <v>0</v>
      </c>
    </row>
    <row r="44" ht="18.75" spans="8:18">
      <c r="H44" s="157">
        <v>39</v>
      </c>
      <c r="I44" s="163"/>
      <c r="J44" s="164"/>
      <c r="K44" s="164"/>
      <c r="L44" s="164"/>
      <c r="M44" s="164"/>
      <c r="N44" s="164"/>
      <c r="O44" s="164"/>
      <c r="P44" s="164">
        <f t="shared" si="3"/>
        <v>0</v>
      </c>
      <c r="Q44" s="168" t="e">
        <f t="shared" si="4"/>
        <v>#DIV/0!</v>
      </c>
      <c r="R44" s="164">
        <f t="shared" si="5"/>
        <v>0</v>
      </c>
    </row>
    <row r="45" ht="18.75" spans="8:18">
      <c r="H45" s="158">
        <v>40</v>
      </c>
      <c r="I45" s="163"/>
      <c r="J45" s="164"/>
      <c r="K45" s="164"/>
      <c r="L45" s="164"/>
      <c r="M45" s="164"/>
      <c r="N45" s="164"/>
      <c r="O45" s="164"/>
      <c r="P45" s="164">
        <f t="shared" si="3"/>
        <v>0</v>
      </c>
      <c r="Q45" s="168" t="e">
        <f t="shared" si="4"/>
        <v>#DIV/0!</v>
      </c>
      <c r="R45" s="164">
        <f t="shared" si="5"/>
        <v>0</v>
      </c>
    </row>
    <row r="46" ht="18.75" spans="8:18">
      <c r="H46" s="157">
        <v>41</v>
      </c>
      <c r="I46" s="163"/>
      <c r="J46" s="164"/>
      <c r="K46" s="164"/>
      <c r="L46" s="164"/>
      <c r="M46" s="164"/>
      <c r="N46" s="164"/>
      <c r="O46" s="164"/>
      <c r="P46" s="164">
        <f t="shared" si="3"/>
        <v>0</v>
      </c>
      <c r="Q46" s="168" t="e">
        <f t="shared" si="4"/>
        <v>#DIV/0!</v>
      </c>
      <c r="R46" s="164">
        <f t="shared" si="5"/>
        <v>0</v>
      </c>
    </row>
    <row r="47" ht="18.75" spans="8:18">
      <c r="H47" s="158">
        <v>42</v>
      </c>
      <c r="I47" s="163"/>
      <c r="J47" s="164"/>
      <c r="K47" s="164"/>
      <c r="L47" s="164"/>
      <c r="M47" s="164"/>
      <c r="N47" s="164"/>
      <c r="O47" s="164"/>
      <c r="P47" s="164">
        <f t="shared" si="3"/>
        <v>0</v>
      </c>
      <c r="Q47" s="168" t="e">
        <f t="shared" si="4"/>
        <v>#DIV/0!</v>
      </c>
      <c r="R47" s="164">
        <f t="shared" si="5"/>
        <v>0</v>
      </c>
    </row>
    <row r="48" ht="18.75" spans="8:18">
      <c r="H48" s="157">
        <v>43</v>
      </c>
      <c r="I48" s="163"/>
      <c r="J48" s="164"/>
      <c r="K48" s="164"/>
      <c r="L48" s="164"/>
      <c r="M48" s="164"/>
      <c r="N48" s="164"/>
      <c r="O48" s="164"/>
      <c r="P48" s="164">
        <f t="shared" si="3"/>
        <v>0</v>
      </c>
      <c r="Q48" s="168" t="e">
        <f t="shared" si="4"/>
        <v>#DIV/0!</v>
      </c>
      <c r="R48" s="164">
        <f t="shared" si="5"/>
        <v>0</v>
      </c>
    </row>
    <row r="49" ht="18.75" spans="8:18">
      <c r="H49" s="158">
        <v>44</v>
      </c>
      <c r="I49" s="163"/>
      <c r="J49" s="164"/>
      <c r="K49" s="164"/>
      <c r="L49" s="164"/>
      <c r="M49" s="164"/>
      <c r="N49" s="164"/>
      <c r="O49" s="164"/>
      <c r="P49" s="164">
        <f t="shared" si="3"/>
        <v>0</v>
      </c>
      <c r="Q49" s="168" t="e">
        <f t="shared" si="4"/>
        <v>#DIV/0!</v>
      </c>
      <c r="R49" s="164">
        <f t="shared" si="5"/>
        <v>0</v>
      </c>
    </row>
    <row r="50" ht="18.75" spans="8:18">
      <c r="H50" s="157">
        <v>45</v>
      </c>
      <c r="I50" s="163"/>
      <c r="J50" s="164"/>
      <c r="K50" s="164"/>
      <c r="L50" s="164"/>
      <c r="M50" s="164"/>
      <c r="N50" s="164"/>
      <c r="O50" s="164"/>
      <c r="P50" s="164">
        <f t="shared" si="3"/>
        <v>0</v>
      </c>
      <c r="Q50" s="168" t="e">
        <f t="shared" si="4"/>
        <v>#DIV/0!</v>
      </c>
      <c r="R50" s="164">
        <f t="shared" si="5"/>
        <v>0</v>
      </c>
    </row>
    <row r="51" ht="18.75" spans="8:18">
      <c r="H51" s="158">
        <v>46</v>
      </c>
      <c r="I51" s="163"/>
      <c r="J51" s="164"/>
      <c r="K51" s="164"/>
      <c r="L51" s="164"/>
      <c r="M51" s="164"/>
      <c r="N51" s="164"/>
      <c r="O51" s="164"/>
      <c r="P51" s="164">
        <f t="shared" si="3"/>
        <v>0</v>
      </c>
      <c r="Q51" s="168" t="e">
        <f t="shared" si="4"/>
        <v>#DIV/0!</v>
      </c>
      <c r="R51" s="164">
        <f t="shared" si="5"/>
        <v>0</v>
      </c>
    </row>
    <row r="52" ht="18.75" spans="8:18">
      <c r="H52" s="157">
        <v>47</v>
      </c>
      <c r="I52" s="163"/>
      <c r="J52" s="164"/>
      <c r="K52" s="164"/>
      <c r="L52" s="164"/>
      <c r="M52" s="164"/>
      <c r="N52" s="164"/>
      <c r="O52" s="164"/>
      <c r="P52" s="164">
        <f t="shared" si="3"/>
        <v>0</v>
      </c>
      <c r="Q52" s="168" t="e">
        <f t="shared" si="4"/>
        <v>#DIV/0!</v>
      </c>
      <c r="R52" s="164">
        <f t="shared" si="5"/>
        <v>0</v>
      </c>
    </row>
    <row r="53" ht="18.75" spans="8:18">
      <c r="H53" s="158">
        <v>48</v>
      </c>
      <c r="I53" s="163"/>
      <c r="J53" s="164"/>
      <c r="K53" s="164"/>
      <c r="L53" s="164"/>
      <c r="M53" s="164"/>
      <c r="N53" s="164"/>
      <c r="O53" s="164"/>
      <c r="P53" s="164">
        <f t="shared" si="3"/>
        <v>0</v>
      </c>
      <c r="Q53" s="168" t="e">
        <f t="shared" si="4"/>
        <v>#DIV/0!</v>
      </c>
      <c r="R53" s="164">
        <f t="shared" si="5"/>
        <v>0</v>
      </c>
    </row>
    <row r="54" ht="18.75" spans="8:18">
      <c r="H54" s="157">
        <v>49</v>
      </c>
      <c r="I54" s="163"/>
      <c r="J54" s="164"/>
      <c r="K54" s="164"/>
      <c r="L54" s="164"/>
      <c r="M54" s="164"/>
      <c r="N54" s="164"/>
      <c r="O54" s="164"/>
      <c r="P54" s="164">
        <f t="shared" si="3"/>
        <v>0</v>
      </c>
      <c r="Q54" s="168" t="e">
        <f t="shared" si="4"/>
        <v>#DIV/0!</v>
      </c>
      <c r="R54" s="164">
        <f t="shared" si="5"/>
        <v>0</v>
      </c>
    </row>
    <row r="55" ht="18.75" spans="8:18">
      <c r="H55" s="158">
        <v>50</v>
      </c>
      <c r="I55" s="165"/>
      <c r="J55" s="166"/>
      <c r="K55" s="166"/>
      <c r="L55" s="166"/>
      <c r="M55" s="166"/>
      <c r="N55" s="166"/>
      <c r="O55" s="166"/>
      <c r="P55" s="164">
        <f t="shared" ref="P55:P69" si="6">N55-O55</f>
        <v>0</v>
      </c>
      <c r="Q55" s="168" t="e">
        <f t="shared" ref="Q55:Q69" si="7">O55/J55</f>
        <v>#DIV/0!</v>
      </c>
      <c r="R55" s="164">
        <f t="shared" ref="R55:R69" si="8">(K55*3)+L55</f>
        <v>0</v>
      </c>
    </row>
    <row r="56" ht="18.75" spans="8:18">
      <c r="H56" s="157">
        <v>51</v>
      </c>
      <c r="I56" s="165"/>
      <c r="J56" s="166"/>
      <c r="K56" s="166"/>
      <c r="L56" s="166"/>
      <c r="M56" s="166"/>
      <c r="N56" s="166"/>
      <c r="O56" s="166"/>
      <c r="P56" s="164">
        <f t="shared" si="6"/>
        <v>0</v>
      </c>
      <c r="Q56" s="168" t="e">
        <f t="shared" si="7"/>
        <v>#DIV/0!</v>
      </c>
      <c r="R56" s="164">
        <f t="shared" si="8"/>
        <v>0</v>
      </c>
    </row>
    <row r="57" ht="18.75" spans="8:18">
      <c r="H57" s="158">
        <v>52</v>
      </c>
      <c r="I57" s="163"/>
      <c r="J57" s="164"/>
      <c r="K57" s="164"/>
      <c r="L57" s="164"/>
      <c r="M57" s="164"/>
      <c r="N57" s="164"/>
      <c r="O57" s="164"/>
      <c r="P57" s="164">
        <f t="shared" si="6"/>
        <v>0</v>
      </c>
      <c r="Q57" s="168" t="e">
        <f t="shared" si="7"/>
        <v>#DIV/0!</v>
      </c>
      <c r="R57" s="164">
        <f t="shared" si="8"/>
        <v>0</v>
      </c>
    </row>
    <row r="58" ht="18.75" spans="8:18">
      <c r="H58" s="157">
        <v>53</v>
      </c>
      <c r="I58" s="163"/>
      <c r="J58" s="164"/>
      <c r="K58" s="164"/>
      <c r="L58" s="164"/>
      <c r="M58" s="164"/>
      <c r="N58" s="164"/>
      <c r="O58" s="164"/>
      <c r="P58" s="164">
        <f t="shared" si="6"/>
        <v>0</v>
      </c>
      <c r="Q58" s="168" t="e">
        <f t="shared" si="7"/>
        <v>#DIV/0!</v>
      </c>
      <c r="R58" s="164">
        <f t="shared" si="8"/>
        <v>0</v>
      </c>
    </row>
    <row r="59" ht="18.75" spans="8:18">
      <c r="H59" s="158">
        <v>54</v>
      </c>
      <c r="I59" s="163"/>
      <c r="J59" s="164"/>
      <c r="K59" s="164"/>
      <c r="L59" s="164"/>
      <c r="M59" s="164"/>
      <c r="N59" s="164"/>
      <c r="O59" s="164"/>
      <c r="P59" s="164">
        <f t="shared" si="6"/>
        <v>0</v>
      </c>
      <c r="Q59" s="168" t="e">
        <f t="shared" si="7"/>
        <v>#DIV/0!</v>
      </c>
      <c r="R59" s="164">
        <f t="shared" si="8"/>
        <v>0</v>
      </c>
    </row>
    <row r="60" ht="18.75" spans="8:18">
      <c r="H60" s="157">
        <v>55</v>
      </c>
      <c r="I60" s="163"/>
      <c r="J60" s="164"/>
      <c r="K60" s="164"/>
      <c r="L60" s="164"/>
      <c r="M60" s="164"/>
      <c r="N60" s="164"/>
      <c r="O60" s="164"/>
      <c r="P60" s="164">
        <f t="shared" si="6"/>
        <v>0</v>
      </c>
      <c r="Q60" s="168" t="e">
        <f t="shared" si="7"/>
        <v>#DIV/0!</v>
      </c>
      <c r="R60" s="164">
        <f t="shared" si="8"/>
        <v>0</v>
      </c>
    </row>
    <row r="61" ht="18.75" spans="8:18">
      <c r="H61" s="158">
        <v>56</v>
      </c>
      <c r="I61" s="163"/>
      <c r="J61" s="164"/>
      <c r="K61" s="164"/>
      <c r="L61" s="164"/>
      <c r="M61" s="164"/>
      <c r="N61" s="164"/>
      <c r="O61" s="164"/>
      <c r="P61" s="164">
        <f t="shared" si="6"/>
        <v>0</v>
      </c>
      <c r="Q61" s="168" t="e">
        <f t="shared" si="7"/>
        <v>#DIV/0!</v>
      </c>
      <c r="R61" s="164">
        <f t="shared" si="8"/>
        <v>0</v>
      </c>
    </row>
    <row r="62" ht="18.75" spans="8:18">
      <c r="H62" s="157">
        <v>57</v>
      </c>
      <c r="I62" s="163"/>
      <c r="J62" s="164"/>
      <c r="K62" s="164"/>
      <c r="L62" s="164"/>
      <c r="M62" s="164"/>
      <c r="N62" s="164"/>
      <c r="O62" s="164"/>
      <c r="P62" s="164">
        <f t="shared" si="6"/>
        <v>0</v>
      </c>
      <c r="Q62" s="168" t="e">
        <f t="shared" si="7"/>
        <v>#DIV/0!</v>
      </c>
      <c r="R62" s="164">
        <f t="shared" si="8"/>
        <v>0</v>
      </c>
    </row>
    <row r="63" ht="18.75" spans="8:18">
      <c r="H63" s="158">
        <v>58</v>
      </c>
      <c r="I63" s="163"/>
      <c r="J63" s="164"/>
      <c r="K63" s="164"/>
      <c r="L63" s="164"/>
      <c r="M63" s="164"/>
      <c r="N63" s="164"/>
      <c r="O63" s="164"/>
      <c r="P63" s="164">
        <f t="shared" si="6"/>
        <v>0</v>
      </c>
      <c r="Q63" s="168" t="e">
        <f t="shared" si="7"/>
        <v>#DIV/0!</v>
      </c>
      <c r="R63" s="164">
        <f t="shared" si="8"/>
        <v>0</v>
      </c>
    </row>
    <row r="64" ht="18.75" spans="8:18">
      <c r="H64" s="157">
        <v>59</v>
      </c>
      <c r="I64" s="163"/>
      <c r="J64" s="164"/>
      <c r="K64" s="164"/>
      <c r="L64" s="164"/>
      <c r="M64" s="164"/>
      <c r="N64" s="164"/>
      <c r="O64" s="164"/>
      <c r="P64" s="164">
        <f t="shared" si="6"/>
        <v>0</v>
      </c>
      <c r="Q64" s="168" t="e">
        <f t="shared" si="7"/>
        <v>#DIV/0!</v>
      </c>
      <c r="R64" s="164">
        <f t="shared" si="8"/>
        <v>0</v>
      </c>
    </row>
    <row r="65" ht="18.75" spans="8:18">
      <c r="H65" s="158">
        <v>60</v>
      </c>
      <c r="I65" s="165"/>
      <c r="J65" s="166"/>
      <c r="K65" s="166"/>
      <c r="L65" s="166"/>
      <c r="M65" s="166"/>
      <c r="N65" s="166"/>
      <c r="O65" s="166"/>
      <c r="P65" s="164">
        <f t="shared" si="6"/>
        <v>0</v>
      </c>
      <c r="Q65" s="168" t="e">
        <f t="shared" si="7"/>
        <v>#DIV/0!</v>
      </c>
      <c r="R65" s="164">
        <f t="shared" si="8"/>
        <v>0</v>
      </c>
    </row>
    <row r="66" ht="18.75" spans="8:18">
      <c r="H66" s="157">
        <v>61</v>
      </c>
      <c r="I66" s="163"/>
      <c r="J66" s="164"/>
      <c r="K66" s="164"/>
      <c r="L66" s="164"/>
      <c r="M66" s="164"/>
      <c r="N66" s="164"/>
      <c r="O66" s="164"/>
      <c r="P66" s="164">
        <f t="shared" si="6"/>
        <v>0</v>
      </c>
      <c r="Q66" s="168" t="e">
        <f t="shared" si="7"/>
        <v>#DIV/0!</v>
      </c>
      <c r="R66" s="164">
        <f t="shared" si="8"/>
        <v>0</v>
      </c>
    </row>
    <row r="67" ht="18.75" spans="8:18">
      <c r="H67" s="158">
        <v>62</v>
      </c>
      <c r="I67" s="165"/>
      <c r="J67" s="166"/>
      <c r="K67" s="166"/>
      <c r="L67" s="166"/>
      <c r="M67" s="166"/>
      <c r="N67" s="166"/>
      <c r="O67" s="166"/>
      <c r="P67" s="164">
        <f t="shared" si="6"/>
        <v>0</v>
      </c>
      <c r="Q67" s="168" t="e">
        <f t="shared" si="7"/>
        <v>#DIV/0!</v>
      </c>
      <c r="R67" s="164">
        <f t="shared" si="8"/>
        <v>0</v>
      </c>
    </row>
    <row r="68" ht="18.75" spans="8:18">
      <c r="H68" s="157">
        <v>63</v>
      </c>
      <c r="I68" s="163"/>
      <c r="J68" s="164"/>
      <c r="K68" s="164"/>
      <c r="L68" s="164"/>
      <c r="M68" s="164"/>
      <c r="N68" s="164"/>
      <c r="O68" s="164"/>
      <c r="P68" s="164">
        <f t="shared" si="6"/>
        <v>0</v>
      </c>
      <c r="Q68" s="168" t="e">
        <f t="shared" si="7"/>
        <v>#DIV/0!</v>
      </c>
      <c r="R68" s="164">
        <f t="shared" si="8"/>
        <v>0</v>
      </c>
    </row>
    <row r="69" ht="18.75" spans="8:18">
      <c r="H69" s="158">
        <v>64</v>
      </c>
      <c r="I69" s="165"/>
      <c r="J69" s="166"/>
      <c r="K69" s="166"/>
      <c r="L69" s="166"/>
      <c r="M69" s="166"/>
      <c r="N69" s="166"/>
      <c r="O69" s="166"/>
      <c r="P69" s="164">
        <f t="shared" si="6"/>
        <v>0</v>
      </c>
      <c r="Q69" s="168" t="e">
        <f t="shared" si="7"/>
        <v>#DIV/0!</v>
      </c>
      <c r="R69" s="164">
        <f t="shared" si="8"/>
        <v>0</v>
      </c>
    </row>
    <row r="70" spans="10:15">
      <c r="J70" s="156">
        <f>SUM(J6:J69)/2</f>
        <v>0</v>
      </c>
      <c r="K70" s="156">
        <f>SUM(K6:K69)</f>
        <v>0</v>
      </c>
      <c r="L70" s="156">
        <f>SUM(L6:L69)/2</f>
        <v>0</v>
      </c>
      <c r="M70" s="156">
        <f>SUM(M6:M69)</f>
        <v>0</v>
      </c>
      <c r="N70" s="156">
        <f>SUM(N6:N69)</f>
        <v>0</v>
      </c>
      <c r="O70" s="156">
        <f>SUM(O6:O69)</f>
        <v>0</v>
      </c>
    </row>
  </sheetData>
  <protectedRanges>
    <protectedRange sqref="I6:O69" name="Rango1"/>
  </protectedRanges>
  <sortState ref="I6:R69">
    <sortCondition ref="R6:R69" descending="1"/>
    <sortCondition ref="P6:P69" descending="1"/>
    <sortCondition ref="J6:J69"/>
    <sortCondition ref="N6:N69" descending="1"/>
  </sortState>
  <mergeCells count="1">
    <mergeCell ref="I4:R4"/>
  </mergeCells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11"/>
  <dimension ref="H2:P33"/>
  <sheetViews>
    <sheetView zoomScale="95" zoomScaleNormal="95" workbookViewId="0">
      <selection activeCell="A1" sqref="A1"/>
    </sheetView>
  </sheetViews>
  <sheetFormatPr defaultColWidth="11" defaultRowHeight="14.4"/>
  <cols>
    <col min="1" max="6" width="11.4259259259259" style="137"/>
    <col min="7" max="8" width="2.71296296296296" style="137" customWidth="1"/>
    <col min="9" max="9" width="37" style="137" customWidth="1"/>
    <col min="10" max="10" width="3.71296296296296" style="137" customWidth="1"/>
    <col min="11" max="11" width="36" style="137" customWidth="1"/>
    <col min="12" max="12" width="3.71296296296296" style="137" customWidth="1"/>
    <col min="13" max="13" width="35.712962962963" style="137" customWidth="1"/>
    <col min="14" max="14" width="3.71296296296296" style="137" customWidth="1"/>
    <col min="15" max="15" width="38.5740740740741" style="137" customWidth="1"/>
    <col min="16" max="17" width="2.71296296296296" style="137" customWidth="1"/>
    <col min="18" max="16384" width="11.4259259259259" style="137"/>
  </cols>
  <sheetData>
    <row r="2" ht="6" customHeight="1"/>
    <row r="3" ht="9.95" customHeight="1" spans="8:16">
      <c r="H3" s="138"/>
      <c r="I3" s="141"/>
      <c r="J3" s="141"/>
      <c r="K3" s="141"/>
      <c r="L3" s="141"/>
      <c r="M3" s="141"/>
      <c r="N3" s="141"/>
      <c r="O3" s="141"/>
      <c r="P3" s="142"/>
    </row>
    <row r="4" ht="20.1" customHeight="1" spans="8:16">
      <c r="H4" s="139"/>
      <c r="I4" s="143" t="s">
        <v>75</v>
      </c>
      <c r="J4" s="144"/>
      <c r="K4" s="143" t="s">
        <v>76</v>
      </c>
      <c r="L4" s="144"/>
      <c r="M4" s="143" t="s">
        <v>77</v>
      </c>
      <c r="N4" s="144"/>
      <c r="O4" s="143" t="s">
        <v>78</v>
      </c>
      <c r="P4" s="145"/>
    </row>
    <row r="5" ht="20.1" customHeight="1" spans="8:16">
      <c r="H5" s="139"/>
      <c r="I5" s="144"/>
      <c r="J5" s="144"/>
      <c r="K5" s="144"/>
      <c r="L5" s="144"/>
      <c r="M5" s="144"/>
      <c r="N5" s="144"/>
      <c r="O5" s="144"/>
      <c r="P5" s="145"/>
    </row>
    <row r="6" ht="20.1" customHeight="1" spans="8:16">
      <c r="H6" s="139"/>
      <c r="I6" s="146" t="s">
        <v>79</v>
      </c>
      <c r="J6" s="147"/>
      <c r="K6" s="146" t="s">
        <v>80</v>
      </c>
      <c r="L6" s="147"/>
      <c r="M6" s="146" t="s">
        <v>81</v>
      </c>
      <c r="N6" s="147"/>
      <c r="O6" s="146" t="s">
        <v>82</v>
      </c>
      <c r="P6" s="145"/>
    </row>
    <row r="7" ht="20.1" customHeight="1" spans="8:16">
      <c r="H7" s="139"/>
      <c r="I7" s="148" t="str">
        <f>'GRUPO A'!H7</f>
        <v>FAMA MANTENIMIENTO</v>
      </c>
      <c r="J7" s="147"/>
      <c r="K7" s="148" t="e">
        <f>#REF!</f>
        <v>#REF!</v>
      </c>
      <c r="L7" s="147"/>
      <c r="M7" s="148" t="e">
        <f>#REF!</f>
        <v>#REF!</v>
      </c>
      <c r="N7" s="147"/>
      <c r="O7" s="148" t="e">
        <f>#REF!</f>
        <v>#REF!</v>
      </c>
      <c r="P7" s="145"/>
    </row>
    <row r="8" ht="20.1" customHeight="1" spans="8:16">
      <c r="H8" s="139"/>
      <c r="I8" s="147"/>
      <c r="J8" s="147"/>
      <c r="K8" s="147"/>
      <c r="L8" s="147"/>
      <c r="M8" s="147"/>
      <c r="N8" s="147"/>
      <c r="O8" s="147"/>
      <c r="P8" s="145"/>
    </row>
    <row r="9" ht="20.1" customHeight="1" spans="8:16">
      <c r="H9" s="139"/>
      <c r="I9" s="146" t="s">
        <v>83</v>
      </c>
      <c r="J9" s="147"/>
      <c r="K9" s="146" t="s">
        <v>84</v>
      </c>
      <c r="L9" s="147"/>
      <c r="M9" s="146" t="s">
        <v>85</v>
      </c>
      <c r="N9" s="147"/>
      <c r="O9" s="146" t="s">
        <v>86</v>
      </c>
      <c r="P9" s="145"/>
    </row>
    <row r="10" ht="20.1" customHeight="1" spans="8:16">
      <c r="H10" s="139"/>
      <c r="I10" s="148" t="e">
        <f>#REF!</f>
        <v>#REF!</v>
      </c>
      <c r="J10" s="147"/>
      <c r="K10" s="148" t="e">
        <f>#REF!</f>
        <v>#REF!</v>
      </c>
      <c r="L10" s="147"/>
      <c r="M10" s="149" t="e">
        <f>#REF!</f>
        <v>#REF!</v>
      </c>
      <c r="N10" s="147"/>
      <c r="O10" s="149" t="str">
        <f>'GRUPO A'!H9</f>
        <v>ALEMANA DE REPUESTOS - ESTRUCTURAS LIVIANAS</v>
      </c>
      <c r="P10" s="145"/>
    </row>
    <row r="11" ht="20.1" customHeight="1" spans="8:16">
      <c r="H11" s="139"/>
      <c r="I11" s="147"/>
      <c r="J11" s="147"/>
      <c r="K11" s="147"/>
      <c r="L11" s="147"/>
      <c r="M11" s="147"/>
      <c r="N11" s="147"/>
      <c r="O11" s="147"/>
      <c r="P11" s="145"/>
    </row>
    <row r="12" ht="20.1" customHeight="1" spans="8:16">
      <c r="H12" s="139"/>
      <c r="I12" s="146" t="s">
        <v>87</v>
      </c>
      <c r="J12" s="147"/>
      <c r="K12" s="146" t="s">
        <v>88</v>
      </c>
      <c r="L12" s="147"/>
      <c r="M12" s="146" t="s">
        <v>89</v>
      </c>
      <c r="N12" s="147"/>
      <c r="O12" s="146" t="s">
        <v>90</v>
      </c>
      <c r="P12" s="145"/>
    </row>
    <row r="13" ht="20.1" customHeight="1" spans="8:16">
      <c r="H13" s="139"/>
      <c r="I13" s="148" t="e">
        <f>#REF!</f>
        <v>#REF!</v>
      </c>
      <c r="J13" s="147"/>
      <c r="K13" s="149" t="e">
        <f>#REF!</f>
        <v>#REF!</v>
      </c>
      <c r="L13" s="147"/>
      <c r="M13" s="149" t="str">
        <f>'GRUPO A'!H11</f>
        <v>JEVANI F.C</v>
      </c>
      <c r="N13" s="147"/>
      <c r="O13" s="148" t="e">
        <f>#REF!</f>
        <v>#REF!</v>
      </c>
      <c r="P13" s="145"/>
    </row>
    <row r="14" ht="20.1" customHeight="1" spans="8:16">
      <c r="H14" s="139"/>
      <c r="I14" s="147"/>
      <c r="J14" s="147"/>
      <c r="K14" s="147"/>
      <c r="L14" s="147"/>
      <c r="M14" s="147"/>
      <c r="N14" s="147"/>
      <c r="O14" s="147"/>
      <c r="P14" s="145"/>
    </row>
    <row r="15" ht="20.1" customHeight="1" spans="8:16">
      <c r="H15" s="139"/>
      <c r="I15" s="146" t="s">
        <v>91</v>
      </c>
      <c r="J15" s="147"/>
      <c r="K15" s="146" t="s">
        <v>92</v>
      </c>
      <c r="L15" s="147"/>
      <c r="M15" s="146" t="s">
        <v>93</v>
      </c>
      <c r="N15" s="147"/>
      <c r="O15" s="146" t="s">
        <v>94</v>
      </c>
      <c r="P15" s="145"/>
    </row>
    <row r="16" ht="20.1" customHeight="1" spans="8:16">
      <c r="H16" s="139"/>
      <c r="I16" s="149" t="e">
        <f>#REF!</f>
        <v>#REF!</v>
      </c>
      <c r="J16" s="147"/>
      <c r="K16" s="149" t="str">
        <f>'GRUPO A'!H13</f>
        <v>SAO PAULO TIENDA DE ROPA</v>
      </c>
      <c r="L16" s="147"/>
      <c r="M16" s="148" t="e">
        <f>#REF!</f>
        <v>#REF!</v>
      </c>
      <c r="N16" s="147"/>
      <c r="O16" s="149" t="e">
        <f>#REF!</f>
        <v>#REF!</v>
      </c>
      <c r="P16" s="145"/>
    </row>
    <row r="17" ht="20.1" customHeight="1" spans="8:16">
      <c r="H17" s="139"/>
      <c r="I17" s="150"/>
      <c r="J17" s="151"/>
      <c r="K17" s="151"/>
      <c r="L17" s="151"/>
      <c r="M17" s="151"/>
      <c r="N17" s="151"/>
      <c r="O17" s="151"/>
      <c r="P17" s="145"/>
    </row>
    <row r="18" ht="20.1" customHeight="1" spans="8:16">
      <c r="H18" s="139"/>
      <c r="I18" s="152"/>
      <c r="J18" s="152"/>
      <c r="K18" s="152"/>
      <c r="L18" s="152"/>
      <c r="M18" s="152"/>
      <c r="N18" s="152"/>
      <c r="O18" s="152"/>
      <c r="P18" s="145"/>
    </row>
    <row r="19" ht="20.1" customHeight="1" spans="8:16">
      <c r="H19" s="139"/>
      <c r="I19" s="143" t="s">
        <v>95</v>
      </c>
      <c r="J19" s="144"/>
      <c r="K19" s="143" t="s">
        <v>96</v>
      </c>
      <c r="L19" s="144"/>
      <c r="M19" s="143" t="s">
        <v>97</v>
      </c>
      <c r="N19" s="144"/>
      <c r="O19" s="143" t="s">
        <v>98</v>
      </c>
      <c r="P19" s="145"/>
    </row>
    <row r="20" ht="20.1" customHeight="1" spans="8:16">
      <c r="H20" s="139"/>
      <c r="I20" s="144"/>
      <c r="J20" s="144"/>
      <c r="K20" s="144"/>
      <c r="L20" s="144"/>
      <c r="M20" s="144"/>
      <c r="N20" s="144"/>
      <c r="O20" s="144"/>
      <c r="P20" s="145"/>
    </row>
    <row r="21" ht="20.1" customHeight="1" spans="8:16">
      <c r="H21" s="139"/>
      <c r="I21" s="146" t="s">
        <v>99</v>
      </c>
      <c r="J21" s="147"/>
      <c r="K21" s="146" t="s">
        <v>100</v>
      </c>
      <c r="L21" s="147"/>
      <c r="M21" s="146" t="s">
        <v>101</v>
      </c>
      <c r="N21" s="147"/>
      <c r="O21" s="146" t="s">
        <v>102</v>
      </c>
      <c r="P21" s="145"/>
    </row>
    <row r="22" ht="20.1" customHeight="1" spans="8:16">
      <c r="H22" s="139"/>
      <c r="I22" s="149" t="str">
        <f>'GRUPO A'!H8</f>
        <v>DON JUAN BAR</v>
      </c>
      <c r="J22" s="147"/>
      <c r="K22" s="148" t="e">
        <f>#REF!</f>
        <v>#REF!</v>
      </c>
      <c r="L22" s="147"/>
      <c r="M22" s="148" t="e">
        <f>#REF!</f>
        <v>#REF!</v>
      </c>
      <c r="N22" s="147"/>
      <c r="O22" s="149" t="e">
        <f>#REF!</f>
        <v>#REF!</v>
      </c>
      <c r="P22" s="145"/>
    </row>
    <row r="23" ht="20.1" customHeight="1" spans="8:16">
      <c r="H23" s="139"/>
      <c r="I23" s="147"/>
      <c r="J23" s="147"/>
      <c r="K23" s="147"/>
      <c r="L23" s="147"/>
      <c r="M23" s="147"/>
      <c r="N23" s="147"/>
      <c r="O23" s="147"/>
      <c r="P23" s="145"/>
    </row>
    <row r="24" ht="20.1" customHeight="1" spans="8:16">
      <c r="H24" s="139"/>
      <c r="I24" s="146" t="s">
        <v>103</v>
      </c>
      <c r="J24" s="147"/>
      <c r="K24" s="146" t="s">
        <v>104</v>
      </c>
      <c r="L24" s="147"/>
      <c r="M24" s="146" t="s">
        <v>105</v>
      </c>
      <c r="N24" s="147"/>
      <c r="O24" s="146" t="s">
        <v>106</v>
      </c>
      <c r="P24" s="145"/>
    </row>
    <row r="25" ht="20.1" customHeight="1" spans="8:16">
      <c r="H25" s="139"/>
      <c r="I25" s="148" t="e">
        <f>#REF!</f>
        <v>#REF!</v>
      </c>
      <c r="J25" s="147"/>
      <c r="K25" s="148" t="e">
        <f>#REF!</f>
        <v>#REF!</v>
      </c>
      <c r="L25" s="147"/>
      <c r="M25" s="149" t="e">
        <f>#REF!</f>
        <v>#REF!</v>
      </c>
      <c r="N25" s="147"/>
      <c r="O25" s="149" t="str">
        <f>'GRUPO A'!H10</f>
        <v>M Y M - ESPARTANOS</v>
      </c>
      <c r="P25" s="145"/>
    </row>
    <row r="26" ht="20.1" customHeight="1" spans="8:16">
      <c r="H26" s="139"/>
      <c r="I26" s="147"/>
      <c r="J26" s="147"/>
      <c r="K26" s="147"/>
      <c r="L26" s="147"/>
      <c r="M26" s="147"/>
      <c r="N26" s="147"/>
      <c r="O26" s="147"/>
      <c r="P26" s="145"/>
    </row>
    <row r="27" ht="20.1" customHeight="1" spans="8:16">
      <c r="H27" s="139"/>
      <c r="I27" s="146" t="s">
        <v>107</v>
      </c>
      <c r="J27" s="147"/>
      <c r="K27" s="146" t="s">
        <v>108</v>
      </c>
      <c r="L27" s="147"/>
      <c r="M27" s="146" t="s">
        <v>109</v>
      </c>
      <c r="N27" s="147"/>
      <c r="O27" s="146" t="s">
        <v>110</v>
      </c>
      <c r="P27" s="145"/>
    </row>
    <row r="28" ht="20.1" customHeight="1" spans="8:16">
      <c r="H28" s="139"/>
      <c r="I28" s="149" t="e">
        <f>#REF!</f>
        <v>#REF!</v>
      </c>
      <c r="J28" s="147"/>
      <c r="K28" s="149" t="e">
        <f>#REF!</f>
        <v>#REF!</v>
      </c>
      <c r="L28" s="147"/>
      <c r="M28" s="149" t="str">
        <f>'GRUPO A'!H12</f>
        <v>ABC JURIDICAS S.A.S - EURO REPUESTOS EL BOMBI</v>
      </c>
      <c r="N28" s="147"/>
      <c r="O28" s="148" t="e">
        <f>#REF!</f>
        <v>#REF!</v>
      </c>
      <c r="P28" s="145"/>
    </row>
    <row r="29" ht="20.1" customHeight="1" spans="8:16">
      <c r="H29" s="139"/>
      <c r="I29" s="147"/>
      <c r="J29" s="147"/>
      <c r="K29" s="147"/>
      <c r="L29" s="147"/>
      <c r="M29" s="147"/>
      <c r="N29" s="147"/>
      <c r="O29" s="147"/>
      <c r="P29" s="145"/>
    </row>
    <row r="30" ht="20.1" customHeight="1" spans="8:16">
      <c r="H30" s="139"/>
      <c r="I30" s="146" t="s">
        <v>111</v>
      </c>
      <c r="J30" s="147"/>
      <c r="K30" s="146" t="s">
        <v>112</v>
      </c>
      <c r="L30" s="147"/>
      <c r="M30" s="146" t="s">
        <v>113</v>
      </c>
      <c r="N30" s="147"/>
      <c r="O30" s="146" t="s">
        <v>114</v>
      </c>
      <c r="P30" s="145"/>
    </row>
    <row r="31" ht="20.1" customHeight="1" spans="8:16">
      <c r="H31" s="139"/>
      <c r="I31" s="149" t="e">
        <f>#REF!</f>
        <v>#REF!</v>
      </c>
      <c r="J31" s="147"/>
      <c r="K31" s="149" t="str">
        <f>'GRUPO A'!H14</f>
        <v>POLIFASE INGENIERIA</v>
      </c>
      <c r="L31" s="147"/>
      <c r="M31" s="148" t="e">
        <f>#REF!</f>
        <v>#REF!</v>
      </c>
      <c r="N31" s="147"/>
      <c r="O31" s="149" t="e">
        <f>#REF!</f>
        <v>#REF!</v>
      </c>
      <c r="P31" s="145"/>
    </row>
    <row r="32" ht="9.95" customHeight="1" spans="8:16">
      <c r="H32" s="140"/>
      <c r="I32" s="153"/>
      <c r="J32" s="153"/>
      <c r="K32" s="153"/>
      <c r="L32" s="153"/>
      <c r="M32" s="153"/>
      <c r="N32" s="153"/>
      <c r="O32" s="153"/>
      <c r="P32" s="154"/>
    </row>
    <row r="33" ht="9.95" customHeight="1"/>
  </sheetData>
  <sheetProtection algorithmName="SHA-512" hashValue="9OiBnlrNqkIcdP4SjjYCV6ir4pr6AlbK03SIJ6Z3lCdtPmA7EMmQsa5BqPs/ZUh3BteVNH/vUKkuYNJiOTkULQ==" saltValue="MLi5dvn8T5BU+9HaX2jfOw==" spinCount="100000" sheet="1" objects="1" scenarios="1"/>
  <pageMargins left="0.7" right="0.7" top="0.75" bottom="0.75" header="0.3" footer="0.3"/>
  <pageSetup paperSize="1" orientation="portrait" horizontalDpi="3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name="Button 1" r:id="rId3">
              <controlPr print="0" defaultSize="0">
                <anchor moveWithCells="1" sizeWithCells="1">
                  <from>
                    <xdr:col>17</xdr:col>
                    <xdr:colOff>552450</xdr:colOff>
                    <xdr:row>10</xdr:row>
                    <xdr:rowOff>0</xdr:rowOff>
                  </from>
                  <to>
                    <xdr:col>19</xdr:col>
                    <xdr:colOff>390525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8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75</v>
      </c>
      <c r="E3" s="113" t="str">
        <f>D5</f>
        <v>FAMA MANTENIMIENTO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str">
        <f>CUADRANGULARES!I7</f>
        <v>FAMA MANTENIMIENTO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CUADRANGULARES!I10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CUADRANGULARES!I13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CUADRANGULARES!I16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0KLdgFlLgacvMqR2ZOvyckK/vQFHzqvwLZjRjTTdyr8TNwZyJ1veM6gecCicoKy7gt7W/B5Gn4JVQ8NNkPpSQA==" saltValue="dUqcJpPUsAhWmmbFi/A9qw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2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75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str">
        <f>'1'!D5</f>
        <v>FAMA MANTENIMIENTO</v>
      </c>
      <c r="E5" s="107">
        <f>COUNTA('1'!E6:E8)</f>
        <v>0</v>
      </c>
      <c r="F5" s="107">
        <f>COUNTIF('1'!$H$5:$H$8,3)</f>
        <v>0</v>
      </c>
      <c r="G5" s="107">
        <f>COUNTIF('1'!$H$5:$H$8,1)</f>
        <v>0</v>
      </c>
      <c r="H5" s="107">
        <f>COUNTIF('1'!$H$5:$H$8,0)</f>
        <v>0</v>
      </c>
      <c r="I5" s="110">
        <f>SUM('1'!$G$5:$G$8)</f>
        <v>0</v>
      </c>
      <c r="J5" s="110">
        <f>SUM('1'!$F$5:$F$8)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'1'!D6</f>
        <v>#REF!</v>
      </c>
      <c r="E6" s="107">
        <f>COUNTA('1'!E6,'1'!J7:J8)</f>
        <v>0</v>
      </c>
      <c r="F6" s="107">
        <f>COUNTIF('1'!$M$5:$M$8,3)</f>
        <v>0</v>
      </c>
      <c r="G6" s="107">
        <f>COUNTIF('1'!$M$5:$M$8,1)</f>
        <v>0</v>
      </c>
      <c r="H6" s="107">
        <f>COUNTIF('1'!$M$5:$M$8,0)</f>
        <v>0</v>
      </c>
      <c r="I6" s="110">
        <f>SUM('1'!$L$5:$L$8)</f>
        <v>0</v>
      </c>
      <c r="J6" s="110">
        <f>SUM('1'!$K$5:$K$8)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'1'!D7</f>
        <v>#REF!</v>
      </c>
      <c r="E7" s="107">
        <f>COUNTA('1'!E7,'1'!J7,'1'!O8)</f>
        <v>0</v>
      </c>
      <c r="F7" s="107">
        <f>COUNTIF('1'!$R$5:$R$8,3)</f>
        <v>0</v>
      </c>
      <c r="G7" s="107">
        <f>COUNTIF('1'!$R$5:$R$8,1)</f>
        <v>0</v>
      </c>
      <c r="H7" s="107">
        <f>COUNTIF('1'!$R$5:$R$8,0)</f>
        <v>0</v>
      </c>
      <c r="I7" s="110">
        <f>SUM('1'!$Q$5:$Q$8)</f>
        <v>0</v>
      </c>
      <c r="J7" s="110">
        <f>SUM('1'!$P$5:$P$8)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'1'!D8</f>
        <v>#REF!</v>
      </c>
      <c r="E8" s="107">
        <f>COUNTA('1'!E8,'1'!J8,'1'!O8)</f>
        <v>0</v>
      </c>
      <c r="F8" s="107">
        <f>COUNTIF('1'!$W$5:$W$8,3)</f>
        <v>0</v>
      </c>
      <c r="G8" s="107">
        <f>COUNTIF('1'!$W$5:$W$8,1)</f>
        <v>0</v>
      </c>
      <c r="H8" s="107">
        <f>COUNTIF('1'!$W$5:$W$8,0)</f>
        <v>0</v>
      </c>
      <c r="I8" s="110">
        <f>SUM('1'!$V$5:$V$8)</f>
        <v>0</v>
      </c>
      <c r="J8" s="110">
        <f>SUM('1'!$U$5:$U$8)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bp7yaTCgYRBVLjC9fFMpXOuVRsChPv/0iSFitMTtX0yjG/7GQNwFgz1YZVBlLHgyjt8cF0U5SMxlSKmFboEpqA==" saltValue="QIAGo/i5Lytr0PjpAPTY0A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9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76</v>
      </c>
      <c r="E3" s="113" t="e">
        <f>D5</f>
        <v>#REF!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str">
        <f>D8</f>
        <v>SAO PAULO TIENDA DE ROPA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CUADRANGULARES!K7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CUADRANGULARES!K10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CUADRANGULARES!K13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str">
        <f>CUADRANGULARES!K16</f>
        <v>SAO PAULO TIENDA DE ROPA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u86Q0znc1vpkQ7bhby8SzK78Ha2RpIQPVVZZcuDed2J15pqjrYQPAoxyv0ov0OnEdqf839YLHuqae+7NaJcFLA==" saltValue="M32EVpyU/FuL83wrsDZaeA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3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76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'2'!D5</f>
        <v>#REF!</v>
      </c>
      <c r="E5" s="107">
        <f>COUNTA('2'!E6:E8)</f>
        <v>0</v>
      </c>
      <c r="F5" s="107">
        <f>COUNTIF('2'!$H$5:$H$8,3)</f>
        <v>0</v>
      </c>
      <c r="G5" s="107">
        <f>COUNTIF('2'!$H$5:$H$8,1)</f>
        <v>0</v>
      </c>
      <c r="H5" s="107">
        <f>COUNTIF('2'!$H$5:$H$8,0)</f>
        <v>0</v>
      </c>
      <c r="I5" s="110">
        <f>SUM('2'!$G$5:$G$8)</f>
        <v>0</v>
      </c>
      <c r="J5" s="110">
        <f>SUM('2'!$F$5:$F$8)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'2'!D6</f>
        <v>#REF!</v>
      </c>
      <c r="E6" s="107">
        <f>COUNTA('2'!E6,'2'!J7:J8)</f>
        <v>0</v>
      </c>
      <c r="F6" s="107">
        <f>COUNTIF('2'!$M$5:$M$8,3)</f>
        <v>0</v>
      </c>
      <c r="G6" s="107">
        <f>COUNTIF('2'!$M$5:$M$8,1)</f>
        <v>0</v>
      </c>
      <c r="H6" s="107">
        <f>COUNTIF('2'!$M$5:$M$8,0)</f>
        <v>0</v>
      </c>
      <c r="I6" s="110">
        <f>SUM('2'!$L$5:$L$8)</f>
        <v>0</v>
      </c>
      <c r="J6" s="110">
        <f>SUM('2'!$K$5:$K$8)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'2'!D7</f>
        <v>#REF!</v>
      </c>
      <c r="E7" s="107">
        <f>COUNTA('2'!E7,'2'!J7,'2'!O8)</f>
        <v>0</v>
      </c>
      <c r="F7" s="107">
        <f>COUNTIF('2'!$R$5:$R$8,3)</f>
        <v>0</v>
      </c>
      <c r="G7" s="107">
        <f>COUNTIF('2'!$R$5:$R$8,1)</f>
        <v>0</v>
      </c>
      <c r="H7" s="107">
        <f>COUNTIF('2'!$R$5:$R$8,0)</f>
        <v>0</v>
      </c>
      <c r="I7" s="110">
        <f>SUM('2'!$Q$5:$Q$8)</f>
        <v>0</v>
      </c>
      <c r="J7" s="110">
        <f>SUM('2'!$P$5:$P$8)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str">
        <f>'2'!D8</f>
        <v>SAO PAULO TIENDA DE ROPA</v>
      </c>
      <c r="E8" s="107">
        <f>COUNTA('2'!E8,'2'!J8,'2'!O8)</f>
        <v>0</v>
      </c>
      <c r="F8" s="107">
        <f>COUNTIF('2'!$W$5:$W$8,3)</f>
        <v>0</v>
      </c>
      <c r="G8" s="107">
        <f>COUNTIF('2'!$W$5:$W$8,1)</f>
        <v>0</v>
      </c>
      <c r="H8" s="107">
        <f>COUNTIF('2'!$W$5:$W$8,0)</f>
        <v>0</v>
      </c>
      <c r="I8" s="110">
        <f>SUM('2'!$V$5:$V$8)</f>
        <v>0</v>
      </c>
      <c r="J8" s="110">
        <f>SUM('2'!$U$5:$U$8)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7whpTBS/FZ7EKaB8TSuPf5FjQe7XFmjAoZYkGSA3sjemSH7zG3o399PkQnIcwqjALO2egsCCZCiJsyHFi7w2Ig==" saltValue="FIBaOp3w2YHkU0HwcLQVig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0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77</v>
      </c>
      <c r="E3" s="113" t="e">
        <f>D5</f>
        <v>#REF!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str">
        <f>D7</f>
        <v>JEVANI F.C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CUADRANGULARES!M7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CUADRANGULARES!M10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str">
        <f>CUADRANGULARES!M13</f>
        <v>JEVANI F.C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CUADRANGULARES!M16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fE2pHqB4ztzQB5adnXbFHv4i5oZxQpK0GQ/83CboffJbRtjlX78DdW/t+w6mSHKT3i664hVP5JDgXrFkTklu8A==" saltValue="kn3RLij5xjtNWQAQWh0zjg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4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77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'3'!D5</f>
        <v>#REF!</v>
      </c>
      <c r="E5" s="107">
        <f>COUNTA('3'!E6:E8)</f>
        <v>0</v>
      </c>
      <c r="F5" s="107">
        <f>COUNTIF('3'!$H$5:$H$8,3)</f>
        <v>0</v>
      </c>
      <c r="G5" s="107">
        <f>COUNTIF('3'!$H$5:$H$8,1)</f>
        <v>0</v>
      </c>
      <c r="H5" s="107">
        <f>COUNTIF('3'!$H$5:$H$8,0)</f>
        <v>0</v>
      </c>
      <c r="I5" s="110">
        <f>SUM('3'!$G$5:$G$8)</f>
        <v>0</v>
      </c>
      <c r="J5" s="110">
        <f>SUM('3'!$F$5:$F$8)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'3'!D6</f>
        <v>#REF!</v>
      </c>
      <c r="E6" s="107">
        <f>COUNTA('3'!E6,'3'!J7:J8)</f>
        <v>0</v>
      </c>
      <c r="F6" s="107">
        <f>COUNTIF('3'!$M$5:$M$8,3)</f>
        <v>0</v>
      </c>
      <c r="G6" s="107">
        <f>COUNTIF('3'!$M$5:$M$8,1)</f>
        <v>0</v>
      </c>
      <c r="H6" s="107">
        <f>COUNTIF('3'!$M$5:$M$8,0)</f>
        <v>0</v>
      </c>
      <c r="I6" s="110">
        <f>SUM('3'!$L$5:$L$8)</f>
        <v>0</v>
      </c>
      <c r="J6" s="110">
        <f>SUM('3'!$K$5:$K$8)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str">
        <f>'3'!D7</f>
        <v>JEVANI F.C</v>
      </c>
      <c r="E7" s="107">
        <f>COUNTA('3'!E7,'3'!J7,'3'!O8)</f>
        <v>0</v>
      </c>
      <c r="F7" s="107">
        <f>COUNTIF('3'!$R$5:$R$8,3)</f>
        <v>0</v>
      </c>
      <c r="G7" s="107">
        <f>COUNTIF('3'!$R$5:$R$8,1)</f>
        <v>0</v>
      </c>
      <c r="H7" s="107">
        <f>COUNTIF('3'!$R$5:$R$8,0)</f>
        <v>0</v>
      </c>
      <c r="I7" s="110">
        <f>SUM('3'!$Q$5:$Q$8)</f>
        <v>0</v>
      </c>
      <c r="J7" s="110">
        <f>SUM('3'!$P$5:$P$8)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'3'!D8</f>
        <v>#REF!</v>
      </c>
      <c r="E8" s="107">
        <f>COUNTA('3'!E8,'3'!J8,'3'!O8)</f>
        <v>0</v>
      </c>
      <c r="F8" s="107">
        <f>COUNTIF('3'!$W$5:$W$8,3)</f>
        <v>0</v>
      </c>
      <c r="G8" s="107">
        <f>COUNTIF('3'!$W$5:$W$8,1)</f>
        <v>0</v>
      </c>
      <c r="H8" s="107">
        <f>COUNTIF('3'!$W$5:$W$8,0)</f>
        <v>0</v>
      </c>
      <c r="I8" s="110">
        <f>SUM('3'!$V$5:$V$8)</f>
        <v>0</v>
      </c>
      <c r="J8" s="110">
        <f>SUM('3'!$U$5:$U$8)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xpyN7u0bRMsLvqvwI9vT3Nqj6oiLM9hImtUJ40dP2mi4RaUljggJbJu3HOLV4NEAVGRjCnyK8PtnY0YMWdncjA==" saltValue="V4c2+UWIMCiuYDCI8SDgWg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1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78</v>
      </c>
      <c r="E3" s="113" t="e">
        <f>D5</f>
        <v>#REF!</v>
      </c>
      <c r="F3" s="114"/>
      <c r="G3" s="114"/>
      <c r="H3" s="114"/>
      <c r="I3" s="127"/>
      <c r="J3" s="113" t="str">
        <f>D6</f>
        <v>ALEMANA DE REPUESTOS - ESTRUCTURAS LIVIANAS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CUADRANGULARES!O7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str">
        <f>CUADRANGULARES!O10</f>
        <v>ALEMANA DE REPUESTOS - ESTRUCTURAS LIVIANAS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CUADRANGULARES!O13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CUADRANGULARES!O16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z3FKi9DlaJQCTK2An5VgQVSz1ASR/Lf4GQtddu2TBPKUsPUNMElLGSfegLHV1Z81GX3rwC5y2cfEiFxGyPnjHw==" saltValue="tUoYeqot2uQicnTaaM/1JA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5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78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'4'!D5</f>
        <v>#REF!</v>
      </c>
      <c r="E5" s="107">
        <f>COUNTA('4'!E6:E8)</f>
        <v>0</v>
      </c>
      <c r="F5" s="107">
        <f>COUNTIF('4'!$H$5:$H$8,3)</f>
        <v>0</v>
      </c>
      <c r="G5" s="107">
        <f>COUNTIF('4'!$H$5:$H$8,1)</f>
        <v>0</v>
      </c>
      <c r="H5" s="107">
        <f>COUNTIF('4'!$H$5:$H$8,0)</f>
        <v>0</v>
      </c>
      <c r="I5" s="110">
        <f>SUM('4'!$G$5:$G$8)</f>
        <v>0</v>
      </c>
      <c r="J5" s="110">
        <f>SUM('4'!$F$5:$F$8)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str">
        <f>'4'!D6</f>
        <v>ALEMANA DE REPUESTOS - ESTRUCTURAS LIVIANAS</v>
      </c>
      <c r="E6" s="107">
        <f>COUNTA('4'!E6,'4'!J7:J8)</f>
        <v>0</v>
      </c>
      <c r="F6" s="107">
        <f>COUNTIF('4'!$M$5:$M$8,3)</f>
        <v>0</v>
      </c>
      <c r="G6" s="107">
        <f>COUNTIF('4'!$M$5:$M$8,1)</f>
        <v>0</v>
      </c>
      <c r="H6" s="107">
        <f>COUNTIF('4'!$M$5:$M$8,0)</f>
        <v>0</v>
      </c>
      <c r="I6" s="110">
        <f>SUM('4'!$L$5:$L$8)</f>
        <v>0</v>
      </c>
      <c r="J6" s="110">
        <f>SUM('4'!$K$5:$K$8)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'4'!D7</f>
        <v>#REF!</v>
      </c>
      <c r="E7" s="107">
        <f>COUNTA('4'!E7,'4'!J7,'4'!O8)</f>
        <v>0</v>
      </c>
      <c r="F7" s="107">
        <f>COUNTIF('4'!$R$5:$R$8,3)</f>
        <v>0</v>
      </c>
      <c r="G7" s="107">
        <f>COUNTIF('4'!$R$5:$R$8,1)</f>
        <v>0</v>
      </c>
      <c r="H7" s="107">
        <f>COUNTIF('4'!$R$5:$R$8,0)</f>
        <v>0</v>
      </c>
      <c r="I7" s="110">
        <f>SUM('4'!$Q$5:$Q$8)</f>
        <v>0</v>
      </c>
      <c r="J7" s="110">
        <f>SUM('4'!$P$5:$P$8)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'4'!D8</f>
        <v>#REF!</v>
      </c>
      <c r="E8" s="107">
        <f>COUNTA('4'!E8,'4'!J8,'4'!O8)</f>
        <v>0</v>
      </c>
      <c r="F8" s="107">
        <f>COUNTIF('4'!$W$5:$W$8,3)</f>
        <v>0</v>
      </c>
      <c r="G8" s="107">
        <f>COUNTIF('4'!$W$5:$W$8,1)</f>
        <v>0</v>
      </c>
      <c r="H8" s="107">
        <f>COUNTIF('4'!$W$5:$W$8,0)</f>
        <v>0</v>
      </c>
      <c r="I8" s="110">
        <f>SUM('4'!$V$5:$V$8)</f>
        <v>0</v>
      </c>
      <c r="J8" s="110">
        <f>SUM('4'!$U$5:$U$8)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11V7xjgP1XqaAcP4DFRaBbO/RQaXeyJiLAMwCQVDE6sy9n8HkHXQpYPtqyAF2En4wgBzkiqFw1sQMIIXwlTOOg==" saltValue="+d/P9RODFFXz6BvRZJKlwQ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2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95</v>
      </c>
      <c r="E3" s="113" t="str">
        <f>D5</f>
        <v>DON JUAN BAR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str">
        <f>CUADRANGULARES!I22</f>
        <v>DON JUAN BAR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CUADRANGULARES!I25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CUADRANGULARES!I28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CUADRANGULARES!I31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3PNoxDd3aklx5dhb+JYE8In+kfsY+WJajJOguTgUFxD4VQVsmY7NzsBBI3Ll8QoKY1MBqhJPj72rC704A0tRlQ==" saltValue="Vyqp2jhTVnZ5aYb/012o+Q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6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95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str">
        <f>'5'!D5</f>
        <v>DON JUAN BAR</v>
      </c>
      <c r="E5" s="107">
        <f>COUNTA('5'!E6:E8)</f>
        <v>0</v>
      </c>
      <c r="F5" s="107">
        <f>COUNTIF('5'!$H$5:$H$8,3)</f>
        <v>0</v>
      </c>
      <c r="G5" s="107">
        <f>COUNTIF('5'!$H$5:$H$8,1)</f>
        <v>0</v>
      </c>
      <c r="H5" s="107">
        <f>COUNTIF('5'!$H$5:$H$8,0)</f>
        <v>0</v>
      </c>
      <c r="I5" s="110">
        <f>SUM('5'!$G$5:$G$8)</f>
        <v>0</v>
      </c>
      <c r="J5" s="110">
        <f>SUM('5'!$F$5:$F$8)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'5'!D6</f>
        <v>#REF!</v>
      </c>
      <c r="E6" s="107">
        <f>COUNTA('5'!E6,'5'!J7:J8)</f>
        <v>0</v>
      </c>
      <c r="F6" s="107">
        <f>COUNTIF('5'!$M$5:$M$8,3)</f>
        <v>0</v>
      </c>
      <c r="G6" s="107">
        <f>COUNTIF('5'!$M$5:$M$8,1)</f>
        <v>0</v>
      </c>
      <c r="H6" s="107">
        <f>COUNTIF('5'!$M$5:$M$8,0)</f>
        <v>0</v>
      </c>
      <c r="I6" s="110">
        <f>SUM('5'!$L$5:$L$8)</f>
        <v>0</v>
      </c>
      <c r="J6" s="110">
        <f>SUM('5'!$K$5:$K$8)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'5'!D7</f>
        <v>#REF!</v>
      </c>
      <c r="E7" s="107">
        <f>COUNTA('5'!E7,'5'!J7,'5'!O8)</f>
        <v>0</v>
      </c>
      <c r="F7" s="107">
        <f>COUNTIF('5'!$R$5:$R$8,3)</f>
        <v>0</v>
      </c>
      <c r="G7" s="107">
        <f>COUNTIF('5'!$R$5:$R$8,1)</f>
        <v>0</v>
      </c>
      <c r="H7" s="107">
        <f>COUNTIF('5'!$R$5:$R$8,0)</f>
        <v>0</v>
      </c>
      <c r="I7" s="110">
        <f>SUM('5'!$Q$5:$Q$8)</f>
        <v>0</v>
      </c>
      <c r="J7" s="110">
        <f>SUM('5'!$P$5:$P$8)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'5'!D8</f>
        <v>#REF!</v>
      </c>
      <c r="E8" s="107">
        <f>COUNTA('5'!E8,'5'!J8,'5'!O8)</f>
        <v>0</v>
      </c>
      <c r="F8" s="107">
        <f>COUNTIF('5'!$W$5:$W$8,3)</f>
        <v>0</v>
      </c>
      <c r="G8" s="107">
        <f>COUNTIF('5'!$W$5:$W$8,1)</f>
        <v>0</v>
      </c>
      <c r="H8" s="107">
        <f>COUNTIF('5'!$W$5:$W$8,0)</f>
        <v>0</v>
      </c>
      <c r="I8" s="110">
        <f>SUM('5'!$V$5:$V$8)</f>
        <v>0</v>
      </c>
      <c r="J8" s="110">
        <f>SUM('5'!$U$5:$U$8)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wgsoh8a6gUSH2toHhxB5+4VX2v5AX77Z2W3gpa0L0/M++8YCpjuKZbPaKlmn4h2o/jEbLDAx/j10k7DpApOq3A==" saltValue="eruubQ2luyTkeTU4+9mq9g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3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96</v>
      </c>
      <c r="E3" s="113" t="e">
        <f>D5</f>
        <v>#REF!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str">
        <f>D8</f>
        <v>POLIFASE INGENIERIA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CUADRANGULARES!K22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CUADRANGULARES!K25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CUADRANGULARES!K28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str">
        <f>CUADRANGULARES!K31</f>
        <v>POLIFASE INGENIERIA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BUB7A26eeip9r1obsY5JM42sTKBoTn40j7lSuw+ewAln6tKYY6mAhUYJK+4hf/X/d2RIXa4RfWviaQHfNVVFtw==" saltValue="cWi+VmtpYJAlRdrVnDVZKQ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7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96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'6'!D5</f>
        <v>#REF!</v>
      </c>
      <c r="E5" s="107">
        <f>COUNTA('6'!E6:E8)</f>
        <v>0</v>
      </c>
      <c r="F5" s="107">
        <f>COUNTIF('6'!$H$5:$H$8,3)</f>
        <v>0</v>
      </c>
      <c r="G5" s="107">
        <f>COUNTIF('6'!$H$5:$H$8,1)</f>
        <v>0</v>
      </c>
      <c r="H5" s="107">
        <f>COUNTIF('6'!$H$5:$H$8,0)</f>
        <v>0</v>
      </c>
      <c r="I5" s="110">
        <f>SUM('6'!$G$5:$G$8)</f>
        <v>0</v>
      </c>
      <c r="J5" s="110">
        <f>SUM('6'!$F$5:$F$8)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'6'!D6</f>
        <v>#REF!</v>
      </c>
      <c r="E6" s="107">
        <f>COUNTA('6'!E6,'6'!J7:J8)</f>
        <v>0</v>
      </c>
      <c r="F6" s="107">
        <f>COUNTIF('6'!$M$5:$M$8,3)</f>
        <v>0</v>
      </c>
      <c r="G6" s="107">
        <f>COUNTIF('6'!$M$5:$M$8,1)</f>
        <v>0</v>
      </c>
      <c r="H6" s="107">
        <f>COUNTIF('6'!$M$5:$M$8,0)</f>
        <v>0</v>
      </c>
      <c r="I6" s="110">
        <f>SUM('6'!$L$5:$L$8)</f>
        <v>0</v>
      </c>
      <c r="J6" s="110">
        <f>SUM('6'!$K$5:$K$8)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'6'!D7</f>
        <v>#REF!</v>
      </c>
      <c r="E7" s="107">
        <f>COUNTA('6'!E7,'6'!J7,'6'!O8)</f>
        <v>0</v>
      </c>
      <c r="F7" s="107">
        <f>COUNTIF('6'!$R$5:$R$8,3)</f>
        <v>0</v>
      </c>
      <c r="G7" s="107">
        <f>COUNTIF('6'!$R$5:$R$8,1)</f>
        <v>0</v>
      </c>
      <c r="H7" s="107">
        <f>COUNTIF('6'!$R$5:$R$8,0)</f>
        <v>0</v>
      </c>
      <c r="I7" s="110">
        <f>SUM('6'!$Q$5:$Q$8)</f>
        <v>0</v>
      </c>
      <c r="J7" s="110">
        <f>SUM('6'!$P$5:$P$8)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str">
        <f>'6'!D8</f>
        <v>POLIFASE INGENIERIA</v>
      </c>
      <c r="E8" s="107">
        <f>COUNTA('6'!E8,'6'!J8,'6'!O8)</f>
        <v>0</v>
      </c>
      <c r="F8" s="107">
        <f>COUNTIF('6'!$W$5:$W$8,3)</f>
        <v>0</v>
      </c>
      <c r="G8" s="107">
        <f>COUNTIF('6'!$W$5:$W$8,1)</f>
        <v>0</v>
      </c>
      <c r="H8" s="107">
        <f>COUNTIF('6'!$W$5:$W$8,0)</f>
        <v>0</v>
      </c>
      <c r="I8" s="110">
        <f>SUM('6'!$V$5:$V$8)</f>
        <v>0</v>
      </c>
      <c r="J8" s="110">
        <f>SUM('6'!$U$5:$U$8)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cpW/zLde+svrw3+4+t/GUbZglJX1CV8m1GWeeoksW7qifzQiZ9BfkROMmV+WWW7B4NHimxty8kskyld8AQOQKg==" saltValue="qnx7DMD3M9vtGY5LYVuiiw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4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97</v>
      </c>
      <c r="E3" s="113" t="e">
        <f>D5</f>
        <v>#REF!</v>
      </c>
      <c r="F3" s="114"/>
      <c r="G3" s="114"/>
      <c r="H3" s="114"/>
      <c r="I3" s="127"/>
      <c r="J3" s="113" t="e">
        <f>D6</f>
        <v>#REF!</v>
      </c>
      <c r="K3" s="114"/>
      <c r="L3" s="114"/>
      <c r="M3" s="114"/>
      <c r="N3" s="127"/>
      <c r="O3" s="113" t="str">
        <f>D7</f>
        <v>ABC JURIDICAS S.A.S - EURO REPUESTOS EL BOMBI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CUADRANGULARES!M22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e">
        <f>CUADRANGULARES!M25</f>
        <v>#REF!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str">
        <f>CUADRANGULARES!M28</f>
        <v>ABC JURIDICAS S.A.S - EURO REPUESTOS EL BOMBI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CUADRANGULARES!M31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mUUgn5CEmcMpZRP1AZyozeVPlYMiP2jMTKQQFlVwgtdCc7iwvB5jY9BPqW6OGLQV03nJTZj/KMzxleySWolyWQ==" saltValue="qYC5laX9TRYc8S+Y50fxbg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8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97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'7'!D5</f>
        <v>#REF!</v>
      </c>
      <c r="E5" s="107">
        <f>COUNTA('7'!E6:E8)</f>
        <v>0</v>
      </c>
      <c r="F5" s="107">
        <f>COUNTIF('7'!$H$5:$H$8,3)</f>
        <v>0</v>
      </c>
      <c r="G5" s="107">
        <f>COUNTIF('7'!$H$5:$H$8,1)</f>
        <v>0</v>
      </c>
      <c r="H5" s="107">
        <f>COUNTIF('7'!$H$5:$H$8,0)</f>
        <v>0</v>
      </c>
      <c r="I5" s="110">
        <f>SUM('7'!$G$5:$G$8)</f>
        <v>0</v>
      </c>
      <c r="J5" s="110">
        <f>SUM('7'!$F$5:$F$8)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e">
        <f>'7'!D6</f>
        <v>#REF!</v>
      </c>
      <c r="E6" s="107">
        <f>COUNTA('7'!E6,'7'!J7:J8)</f>
        <v>0</v>
      </c>
      <c r="F6" s="107">
        <f>COUNTIF('7'!$M$5:$M$8,3)</f>
        <v>0</v>
      </c>
      <c r="G6" s="107">
        <f>COUNTIF('7'!$M$5:$M$8,1)</f>
        <v>0</v>
      </c>
      <c r="H6" s="107">
        <f>COUNTIF('7'!$M$5:$M$8,0)</f>
        <v>0</v>
      </c>
      <c r="I6" s="110">
        <f>SUM('7'!$L$5:$L$8)</f>
        <v>0</v>
      </c>
      <c r="J6" s="110">
        <f>SUM('7'!$K$5:$K$8)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str">
        <f>'7'!D7</f>
        <v>ABC JURIDICAS S.A.S - EURO REPUESTOS EL BOMBI</v>
      </c>
      <c r="E7" s="107">
        <f>COUNTA('7'!E7,'7'!J7,'7'!O8)</f>
        <v>0</v>
      </c>
      <c r="F7" s="107">
        <f>COUNTIF('7'!$R$5:$R$8,3)</f>
        <v>0</v>
      </c>
      <c r="G7" s="107">
        <f>COUNTIF('7'!$R$5:$R$8,1)</f>
        <v>0</v>
      </c>
      <c r="H7" s="107">
        <f>COUNTIF('7'!$R$5:$R$8,0)</f>
        <v>0</v>
      </c>
      <c r="I7" s="110">
        <f>SUM('7'!$Q$5:$Q$8)</f>
        <v>0</v>
      </c>
      <c r="J7" s="110">
        <f>SUM('7'!$P$5:$P$8)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'7'!D8</f>
        <v>#REF!</v>
      </c>
      <c r="E8" s="107">
        <f>COUNTA('7'!E8,'7'!J8,'7'!O8)</f>
        <v>0</v>
      </c>
      <c r="F8" s="107">
        <f>COUNTIF('7'!$W$5:$W$8,3)</f>
        <v>0</v>
      </c>
      <c r="G8" s="107">
        <f>COUNTIF('7'!$W$5:$W$8,1)</f>
        <v>0</v>
      </c>
      <c r="H8" s="107">
        <f>COUNTIF('7'!$W$5:$W$8,0)</f>
        <v>0</v>
      </c>
      <c r="I8" s="110">
        <f>SUM('7'!$V$5:$V$8)</f>
        <v>0</v>
      </c>
      <c r="J8" s="110">
        <f>SUM('7'!$U$5:$U$8)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e1ltuGMKjphJVHcv93nONmijMcf3KbDuJ4laEONS4m5izjnweKHRhzRolNBDMDDZnhOSEryqtfHBXMXdO8oN0Q==" saltValue="PGPHttpiuIlVTW6bWP0KVQ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5"/>
  <dimension ref="C3:X8"/>
  <sheetViews>
    <sheetView showGridLines="0" zoomScale="90" zoomScaleNormal="90" workbookViewId="0">
      <selection activeCell="A1" sqref="A1"/>
    </sheetView>
  </sheetViews>
  <sheetFormatPr defaultColWidth="11" defaultRowHeight="14.4" outlineLevelRow="7"/>
  <cols>
    <col min="1" max="2" width="11.4259259259259" style="100"/>
    <col min="3" max="3" width="3.28703703703704" style="100" customWidth="1"/>
    <col min="4" max="4" width="30.712962962963" style="100" customWidth="1"/>
    <col min="5" max="5" width="10.712962962963" style="100" customWidth="1"/>
    <col min="6" max="7" width="5.71296296296296" style="100" customWidth="1"/>
    <col min="8" max="8" width="11.4259259259259" style="100" hidden="1" customWidth="1"/>
    <col min="9" max="10" width="10.712962962963" style="100" customWidth="1"/>
    <col min="11" max="12" width="5.71296296296296" style="100" customWidth="1"/>
    <col min="13" max="13" width="11.4259259259259" style="100" hidden="1" customWidth="1"/>
    <col min="14" max="15" width="10.712962962963" style="100" customWidth="1"/>
    <col min="16" max="17" width="5.71296296296296" style="100" customWidth="1"/>
    <col min="18" max="18" width="11.4259259259259" style="100" hidden="1" customWidth="1"/>
    <col min="19" max="20" width="10.712962962963" style="100" customWidth="1"/>
    <col min="21" max="22" width="5.71296296296296" style="100" customWidth="1"/>
    <col min="23" max="23" width="11.4259259259259" style="100" hidden="1" customWidth="1"/>
    <col min="24" max="24" width="10.712962962963" style="100" customWidth="1"/>
    <col min="25" max="25" width="5.71296296296296" style="100" customWidth="1"/>
    <col min="26" max="26" width="45.712962962963" style="100" customWidth="1"/>
    <col min="27" max="27" width="4.28703703703704" style="100" customWidth="1"/>
    <col min="28" max="28" width="5.13888888888889" style="100" customWidth="1"/>
    <col min="29" max="29" width="4.71296296296296" style="100" customWidth="1"/>
    <col min="30" max="30" width="4.85185185185185" style="100" customWidth="1"/>
    <col min="31" max="31" width="5" style="100" customWidth="1"/>
    <col min="32" max="32" width="5.13888888888889" style="100" customWidth="1"/>
    <col min="33" max="33" width="5.42592592592593" style="100" customWidth="1"/>
    <col min="34" max="34" width="7.13888888888889" style="100" customWidth="1"/>
    <col min="35" max="16384" width="11.4259259259259" style="100"/>
  </cols>
  <sheetData>
    <row r="3" spans="3:24">
      <c r="C3" s="111" t="s">
        <v>16</v>
      </c>
      <c r="D3" s="112" t="s">
        <v>97</v>
      </c>
      <c r="E3" s="113" t="e">
        <f>D5</f>
        <v>#REF!</v>
      </c>
      <c r="F3" s="114"/>
      <c r="G3" s="114"/>
      <c r="H3" s="114"/>
      <c r="I3" s="127"/>
      <c r="J3" s="113" t="str">
        <f>D6</f>
        <v>M Y M - ESPARTANOS</v>
      </c>
      <c r="K3" s="114"/>
      <c r="L3" s="114"/>
      <c r="M3" s="114"/>
      <c r="N3" s="127"/>
      <c r="O3" s="113" t="e">
        <f>D7</f>
        <v>#REF!</v>
      </c>
      <c r="P3" s="114"/>
      <c r="Q3" s="114"/>
      <c r="R3" s="114"/>
      <c r="S3" s="127"/>
      <c r="T3" s="113" t="e">
        <f>D8</f>
        <v>#REF!</v>
      </c>
      <c r="U3" s="114"/>
      <c r="V3" s="114"/>
      <c r="W3" s="114"/>
      <c r="X3" s="127"/>
    </row>
    <row r="4" spans="3:24">
      <c r="C4" s="115"/>
      <c r="D4" s="116"/>
      <c r="E4" s="117" t="s">
        <v>3</v>
      </c>
      <c r="F4" s="118" t="s">
        <v>18</v>
      </c>
      <c r="G4" s="119"/>
      <c r="H4" s="119"/>
      <c r="I4" s="128" t="s">
        <v>19</v>
      </c>
      <c r="J4" s="129" t="s">
        <v>3</v>
      </c>
      <c r="K4" s="118" t="s">
        <v>18</v>
      </c>
      <c r="L4" s="119"/>
      <c r="M4" s="119"/>
      <c r="N4" s="128" t="s">
        <v>19</v>
      </c>
      <c r="O4" s="129" t="s">
        <v>3</v>
      </c>
      <c r="P4" s="118" t="s">
        <v>18</v>
      </c>
      <c r="Q4" s="119"/>
      <c r="R4" s="119"/>
      <c r="S4" s="128" t="s">
        <v>19</v>
      </c>
      <c r="T4" s="129" t="s">
        <v>3</v>
      </c>
      <c r="U4" s="118" t="s">
        <v>18</v>
      </c>
      <c r="V4" s="119"/>
      <c r="W4" s="119"/>
      <c r="X4" s="128" t="s">
        <v>19</v>
      </c>
    </row>
    <row r="5" spans="3:24">
      <c r="C5" s="120">
        <v>1</v>
      </c>
      <c r="D5" s="121" t="e">
        <f>CUADRANGULARES!O22</f>
        <v>#REF!</v>
      </c>
      <c r="E5" s="122" t="s">
        <v>21</v>
      </c>
      <c r="F5" s="123"/>
      <c r="G5" s="123"/>
      <c r="H5" s="123"/>
      <c r="I5" s="130"/>
      <c r="J5" s="131" t="str">
        <f>IF(E6&lt;&gt;0,E6," ")</f>
        <v> </v>
      </c>
      <c r="K5" s="132" t="str">
        <f>IF(E6&lt;&gt;0,G6," ")</f>
        <v> </v>
      </c>
      <c r="L5" s="132" t="str">
        <f>IF(E6&lt;&gt;0,F6," ")</f>
        <v> </v>
      </c>
      <c r="M5" s="133" t="str">
        <f>IF(E6&lt;&gt;0,IF(K5&lt;L5,"3",IF(K5&gt;L5,"0","1")),"")</f>
        <v/>
      </c>
      <c r="N5" s="132" t="str">
        <f>IF(E6&lt;&gt;0,I6," ")</f>
        <v> </v>
      </c>
      <c r="O5" s="131" t="str">
        <f>IF(E7&lt;&gt;0,E7," ")</f>
        <v> </v>
      </c>
      <c r="P5" s="132" t="str">
        <f>IF(E7&lt;&gt;0,G7," ")</f>
        <v> </v>
      </c>
      <c r="Q5" s="132" t="str">
        <f>IF(E7&lt;&gt;0,F7," ")</f>
        <v> </v>
      </c>
      <c r="R5" s="133" t="str">
        <f>IF(E7&lt;&gt;0,IF(P5&lt;Q5,"3",IF(P5&gt;Q5,"0","1")),"")</f>
        <v/>
      </c>
      <c r="S5" s="132" t="str">
        <f>IF(E7&lt;&gt;0,I7," ")</f>
        <v> </v>
      </c>
      <c r="T5" s="131" t="str">
        <f>IF(E8&lt;&gt;0,E8," ")</f>
        <v> </v>
      </c>
      <c r="U5" s="132" t="str">
        <f>IF(E8&lt;&gt;0,G8," ")</f>
        <v> </v>
      </c>
      <c r="V5" s="132" t="str">
        <f>IF(E8&lt;&gt;0,F8," ")</f>
        <v> </v>
      </c>
      <c r="W5" s="133" t="str">
        <f>IF(E8&lt;&gt;0,IF(U5&lt;V5,"3",IF(U5&gt;V5,"0","1")),"")</f>
        <v/>
      </c>
      <c r="X5" s="135" t="str">
        <f>IF(E8&lt;&gt;0,I8," ")</f>
        <v> </v>
      </c>
    </row>
    <row r="6" spans="3:24">
      <c r="C6" s="120">
        <v>2</v>
      </c>
      <c r="D6" s="121" t="str">
        <f>CUADRANGULARES!O25</f>
        <v>M Y M - ESPARTANOS</v>
      </c>
      <c r="E6" s="124"/>
      <c r="F6" s="125"/>
      <c r="G6" s="125"/>
      <c r="H6" s="126" t="str">
        <f>IF(E6&lt;&gt;0,IF(F6&lt;G6,"3",IF(F6&gt;G6,"0","1")),"")</f>
        <v/>
      </c>
      <c r="I6" s="126"/>
      <c r="J6" s="122" t="s">
        <v>21</v>
      </c>
      <c r="K6" s="123"/>
      <c r="L6" s="123"/>
      <c r="M6" s="123"/>
      <c r="N6" s="130"/>
      <c r="O6" s="134" t="str">
        <f>IF(J7&lt;&gt;0,J7," ")</f>
        <v> </v>
      </c>
      <c r="P6" s="135" t="str">
        <f>IF(J7&lt;&gt;0,L7," ")</f>
        <v> </v>
      </c>
      <c r="Q6" s="136" t="str">
        <f>IF(J7&lt;&gt;0,K7," ")</f>
        <v> </v>
      </c>
      <c r="R6" s="133" t="str">
        <f>IF(J7&lt;&gt;0,IF(P6&lt;Q6,"3",IF(P6&gt;Q6,"0","1")),"")</f>
        <v/>
      </c>
      <c r="S6" s="135" t="str">
        <f>IF(J7&lt;&gt;0,N7," ")</f>
        <v> </v>
      </c>
      <c r="T6" s="134" t="str">
        <f>IF(J8&lt;&gt;0,J8," ")</f>
        <v> </v>
      </c>
      <c r="U6" s="135" t="str">
        <f>IF(J8&lt;&gt;0,L8," ")</f>
        <v> </v>
      </c>
      <c r="V6" s="136" t="str">
        <f>IF(J8&lt;&gt;0,K8," ")</f>
        <v> </v>
      </c>
      <c r="W6" s="133" t="str">
        <f>IF(J8&lt;&gt;0,IF(U6&lt;V6,"3",IF(U6&gt;V6,"0","1")),"")</f>
        <v/>
      </c>
      <c r="X6" s="135" t="str">
        <f>IF(J8&lt;&gt;0,N8," ")</f>
        <v> </v>
      </c>
    </row>
    <row r="7" spans="3:24">
      <c r="C7" s="120">
        <v>3</v>
      </c>
      <c r="D7" s="121" t="e">
        <f>CUADRANGULARES!O28</f>
        <v>#REF!</v>
      </c>
      <c r="E7" s="124"/>
      <c r="F7" s="125"/>
      <c r="G7" s="125"/>
      <c r="H7" s="126" t="str">
        <f t="shared" ref="H7:H8" si="0">IF(E7&lt;&gt;0,IF(F7&lt;G7,"3",IF(F7&gt;G7,"0","1")),"")</f>
        <v/>
      </c>
      <c r="I7" s="126"/>
      <c r="J7" s="124"/>
      <c r="K7" s="125"/>
      <c r="L7" s="125"/>
      <c r="M7" s="126" t="str">
        <f>IF(J7&lt;&gt;0,IF(K7&lt;L7,"3",IF(K7&gt;L7,"0","1")),"")</f>
        <v/>
      </c>
      <c r="N7" s="126"/>
      <c r="O7" s="122" t="s">
        <v>21</v>
      </c>
      <c r="P7" s="123"/>
      <c r="Q7" s="123"/>
      <c r="R7" s="123"/>
      <c r="S7" s="130"/>
      <c r="T7" s="134" t="str">
        <f>IF(O8&lt;&gt;0,O8," ")</f>
        <v> </v>
      </c>
      <c r="U7" s="135" t="str">
        <f>IF(O8&lt;&gt;0,Q8," ")</f>
        <v> </v>
      </c>
      <c r="V7" s="136" t="str">
        <f>IF(O8&lt;&gt;0,P8," ")</f>
        <v> </v>
      </c>
      <c r="W7" s="133" t="str">
        <f>IF(O8&lt;&gt;0,IF(U7&lt;V7,"3",IF(U7&gt;V7,"0","1")),"")</f>
        <v/>
      </c>
      <c r="X7" s="135" t="str">
        <f>IF(O8&lt;&gt;0,S8," ")</f>
        <v> </v>
      </c>
    </row>
    <row r="8" spans="3:24">
      <c r="C8" s="120">
        <v>4</v>
      </c>
      <c r="D8" s="121" t="e">
        <f>CUADRANGULARES!O31</f>
        <v>#REF!</v>
      </c>
      <c r="E8" s="124"/>
      <c r="F8" s="125"/>
      <c r="G8" s="125"/>
      <c r="H8" s="126" t="str">
        <f t="shared" si="0"/>
        <v/>
      </c>
      <c r="I8" s="126"/>
      <c r="J8" s="124"/>
      <c r="K8" s="125"/>
      <c r="L8" s="125"/>
      <c r="M8" s="126" t="str">
        <f t="shared" ref="M8" si="1">IF(J8&lt;&gt;0,IF(K8&lt;L8,"3",IF(K8&gt;L8,"0","1")),"")</f>
        <v/>
      </c>
      <c r="N8" s="126"/>
      <c r="O8" s="124"/>
      <c r="P8" s="125"/>
      <c r="Q8" s="125"/>
      <c r="R8" s="126" t="str">
        <f>IF(O8&lt;&gt;0,IF(P8&lt;Q8,"3",IF(P8&gt;Q8,"0","1")),"")</f>
        <v/>
      </c>
      <c r="S8" s="126"/>
      <c r="T8" s="122" t="s">
        <v>21</v>
      </c>
      <c r="U8" s="123"/>
      <c r="V8" s="123"/>
      <c r="W8" s="123"/>
      <c r="X8" s="130"/>
    </row>
  </sheetData>
  <sheetProtection algorithmName="SHA-512" hashValue="keNhiQ2eyWejlw9jhyuFBeNiACZunYsvMytQw4iLVX6zMIHqsmjdXIykbs31hriyvvHseKixxNGw7pZlEqujqA==" saltValue="537mEE+NcmBQER1tiXpCwg==" spinCount="100000" sheet="1" formatCells="0" sort="0"/>
  <mergeCells count="14">
    <mergeCell ref="E3:I3"/>
    <mergeCell ref="J3:N3"/>
    <mergeCell ref="O3:S3"/>
    <mergeCell ref="T3:X3"/>
    <mergeCell ref="F4:G4"/>
    <mergeCell ref="K4:L4"/>
    <mergeCell ref="P4:Q4"/>
    <mergeCell ref="U4:V4"/>
    <mergeCell ref="E5:I5"/>
    <mergeCell ref="J6:N6"/>
    <mergeCell ref="O7:S7"/>
    <mergeCell ref="T8:X8"/>
    <mergeCell ref="C3:C4"/>
    <mergeCell ref="D3:D4"/>
  </mergeCells>
  <conditionalFormatting sqref="V5">
    <cfRule type="notContainsBlanks" dxfId="8" priority="4">
      <formula>LEN(TRIM(V5))&gt;0</formula>
    </cfRule>
  </conditionalFormatting>
  <conditionalFormatting sqref="H6">
    <cfRule type="notContainsBlanks" dxfId="8" priority="1">
      <formula>LEN(TRIM(H6))&gt;0</formula>
    </cfRule>
  </conditionalFormatting>
  <conditionalFormatting sqref="R5:R6">
    <cfRule type="notContainsBlanks" dxfId="8" priority="3">
      <formula>LEN(TRIM(R5))&gt;0</formula>
    </cfRule>
  </conditionalFormatting>
  <conditionalFormatting sqref="W5:W7">
    <cfRule type="notContainsBlanks" dxfId="8" priority="2">
      <formula>LEN(TRIM(W5))&gt;0</formula>
    </cfRule>
  </conditionalFormatting>
  <conditionalFormatting sqref="T7:V7;O6:Q6;E6:G6;E7:H8;I7:N7;I8:S8;J5:Q5;S5:V6;X5:X7;I6">
    <cfRule type="notContainsBlanks" dxfId="8" priority="5">
      <formula>LEN(TRIM(E5))&gt;0</formula>
    </cfRule>
  </conditionalFormatting>
  <conditionalFormatting sqref="J5:Q5;S5:U5">
    <cfRule type="notContainsBlanks" dxfId="8" priority="6">
      <formula>LEN(TRIM(J5))&gt;0</formula>
    </cfRule>
  </conditionalFormatting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19"/>
  <dimension ref="C2:L13"/>
  <sheetViews>
    <sheetView showGridLines="0" zoomScale="90" zoomScaleNormal="90" workbookViewId="0">
      <selection activeCell="A1" sqref="A1"/>
    </sheetView>
  </sheetViews>
  <sheetFormatPr defaultColWidth="11" defaultRowHeight="14.4"/>
  <cols>
    <col min="1" max="1" width="11.4259259259259" style="100"/>
    <col min="2" max="2" width="5.71296296296296" style="100" customWidth="1"/>
    <col min="3" max="3" width="4.71296296296296" style="100" customWidth="1"/>
    <col min="4" max="4" width="60.712962962963" style="100" customWidth="1"/>
    <col min="5" max="10" width="5.71296296296296" style="100" customWidth="1"/>
    <col min="11" max="11" width="5.71296296296296" style="101" customWidth="1"/>
    <col min="12" max="12" width="7.71296296296296" style="100" customWidth="1"/>
    <col min="13" max="13" width="11.4259259259259" style="100"/>
    <col min="14" max="14" width="4.13888888888889" style="100" customWidth="1"/>
    <col min="15" max="15" width="45.712962962963" style="100" customWidth="1"/>
    <col min="16" max="16" width="4.28703703703704" style="100" customWidth="1"/>
    <col min="17" max="17" width="5.13888888888889" style="100" customWidth="1"/>
    <col min="18" max="18" width="4.71296296296296" style="100" customWidth="1"/>
    <col min="19" max="19" width="4.85185185185185" style="100" customWidth="1"/>
    <col min="20" max="20" width="5" style="100" customWidth="1"/>
    <col min="21" max="21" width="5.13888888888889" style="100" customWidth="1"/>
    <col min="22" max="22" width="5.42592592592593" style="100" customWidth="1"/>
    <col min="23" max="23" width="7.13888888888889" style="100" customWidth="1"/>
    <col min="24" max="16384" width="11.4259259259259" style="100"/>
  </cols>
  <sheetData>
    <row r="2" ht="15.15"/>
    <row r="3" ht="18.75" spans="4:12">
      <c r="D3" s="102" t="s">
        <v>98</v>
      </c>
      <c r="E3" s="103"/>
      <c r="F3" s="103"/>
      <c r="G3" s="103"/>
      <c r="H3" s="103"/>
      <c r="I3" s="103"/>
      <c r="J3" s="103"/>
      <c r="K3" s="103"/>
      <c r="L3" s="109"/>
    </row>
    <row r="4" ht="18.75" spans="4:12">
      <c r="D4" s="104" t="s">
        <v>2</v>
      </c>
      <c r="E4" s="105" t="s">
        <v>26</v>
      </c>
      <c r="F4" s="105" t="s">
        <v>27</v>
      </c>
      <c r="G4" s="105" t="s">
        <v>28</v>
      </c>
      <c r="H4" s="105" t="s">
        <v>29</v>
      </c>
      <c r="I4" s="105" t="s">
        <v>30</v>
      </c>
      <c r="J4" s="105" t="s">
        <v>31</v>
      </c>
      <c r="K4" s="105" t="s">
        <v>32</v>
      </c>
      <c r="L4" s="105" t="s">
        <v>34</v>
      </c>
    </row>
    <row r="5" ht="18.75" spans="3:12">
      <c r="C5" s="106">
        <v>1</v>
      </c>
      <c r="D5" s="107" t="e">
        <f>'8'!D5</f>
        <v>#REF!</v>
      </c>
      <c r="E5" s="107">
        <f>COUNTA('8'!E6:E8)</f>
        <v>0</v>
      </c>
      <c r="F5" s="107">
        <f>COUNTIF('8'!$H$5:$H$8,3)</f>
        <v>0</v>
      </c>
      <c r="G5" s="107">
        <f>COUNTIF('8'!$H$5:$H$8,1)</f>
        <v>0</v>
      </c>
      <c r="H5" s="107">
        <f>COUNTIF('8'!$H$5:$H$8,0)</f>
        <v>0</v>
      </c>
      <c r="I5" s="110">
        <f>SUM('8'!$G$5:$G$8)</f>
        <v>0</v>
      </c>
      <c r="J5" s="110">
        <f>SUM('8'!$F$5:$F$8)</f>
        <v>0</v>
      </c>
      <c r="K5" s="107">
        <f>I5-J5</f>
        <v>0</v>
      </c>
      <c r="L5" s="107">
        <f>(F5*3)+G5</f>
        <v>0</v>
      </c>
    </row>
    <row r="6" ht="18.75" spans="3:12">
      <c r="C6" s="104">
        <v>2</v>
      </c>
      <c r="D6" s="107" t="str">
        <f>'8'!D6</f>
        <v>M Y M - ESPARTANOS</v>
      </c>
      <c r="E6" s="107">
        <f>COUNTA('8'!E6,'8'!J7:J8)</f>
        <v>0</v>
      </c>
      <c r="F6" s="107">
        <f>COUNTIF('8'!$M$5:$M$8,3)</f>
        <v>0</v>
      </c>
      <c r="G6" s="107">
        <f>COUNTIF('8'!$M$5:$M$8,1)</f>
        <v>0</v>
      </c>
      <c r="H6" s="107">
        <f>COUNTIF('8'!$M$5:$M$8,0)</f>
        <v>0</v>
      </c>
      <c r="I6" s="110">
        <f>SUM('8'!$L$5:$L$8)</f>
        <v>0</v>
      </c>
      <c r="J6" s="110">
        <f>SUM('8'!$K$5:$K$8)</f>
        <v>0</v>
      </c>
      <c r="K6" s="107">
        <f>I6-J6</f>
        <v>0</v>
      </c>
      <c r="L6" s="107">
        <f>(F6*3)+G6</f>
        <v>0</v>
      </c>
    </row>
    <row r="7" ht="18.75" spans="3:12">
      <c r="C7" s="106">
        <v>3</v>
      </c>
      <c r="D7" s="107" t="e">
        <f>'8'!D7</f>
        <v>#REF!</v>
      </c>
      <c r="E7" s="107">
        <f>COUNTA('8'!E7,'8'!J7,'8'!O8)</f>
        <v>0</v>
      </c>
      <c r="F7" s="107">
        <f>COUNTIF('8'!$R$5:$R$8,3)</f>
        <v>0</v>
      </c>
      <c r="G7" s="107">
        <f>COUNTIF('8'!$R$5:$R$8,1)</f>
        <v>0</v>
      </c>
      <c r="H7" s="107">
        <f>COUNTIF('8'!$R$5:$R$8,0)</f>
        <v>0</v>
      </c>
      <c r="I7" s="110">
        <f>SUM('8'!$Q$5:$Q$8)</f>
        <v>0</v>
      </c>
      <c r="J7" s="110">
        <f>SUM('8'!$P$5:$P$8)</f>
        <v>0</v>
      </c>
      <c r="K7" s="107">
        <f>I7-J7</f>
        <v>0</v>
      </c>
      <c r="L7" s="107">
        <f>(F7*3)+G7</f>
        <v>0</v>
      </c>
    </row>
    <row r="8" ht="18.75" spans="3:12">
      <c r="C8" s="104">
        <v>4</v>
      </c>
      <c r="D8" s="107" t="e">
        <f>'8'!D8</f>
        <v>#REF!</v>
      </c>
      <c r="E8" s="107">
        <f>COUNTA('8'!E8,'8'!J8,'8'!O8)</f>
        <v>0</v>
      </c>
      <c r="F8" s="107">
        <f>COUNTIF('8'!$W$5:$W$8,3)</f>
        <v>0</v>
      </c>
      <c r="G8" s="107">
        <f>COUNTIF('8'!$W$5:$W$8,1)</f>
        <v>0</v>
      </c>
      <c r="H8" s="107">
        <f>COUNTIF('8'!$W$5:$W$8,0)</f>
        <v>0</v>
      </c>
      <c r="I8" s="110">
        <f>SUM('8'!$V$5:$V$8)</f>
        <v>0</v>
      </c>
      <c r="J8" s="110">
        <f>SUM('8'!$U$5:$U$8)</f>
        <v>0</v>
      </c>
      <c r="K8" s="107">
        <f>I8-J8</f>
        <v>0</v>
      </c>
      <c r="L8" s="107">
        <f>(F8*3)+G8</f>
        <v>0</v>
      </c>
    </row>
    <row r="9" spans="5:10">
      <c r="E9" s="100">
        <f>SUM(E5:E8)/2</f>
        <v>0</v>
      </c>
      <c r="F9" s="100">
        <f>SUM(F5:F8)</f>
        <v>0</v>
      </c>
      <c r="G9" s="100">
        <f>SUM(G5:G8)/2</f>
        <v>0</v>
      </c>
      <c r="H9" s="100">
        <f>SUM(H5:H8)</f>
        <v>0</v>
      </c>
      <c r="I9" s="100">
        <f>SUM(I5:I8)</f>
        <v>0</v>
      </c>
      <c r="J9" s="100">
        <f>SUM(J5:J8)</f>
        <v>0</v>
      </c>
    </row>
    <row r="11" ht="18" spans="4:12">
      <c r="D11" s="108"/>
      <c r="E11" s="108"/>
      <c r="F11" s="108"/>
      <c r="G11" s="108"/>
      <c r="H11" s="108"/>
      <c r="I11" s="108"/>
      <c r="J11" s="108"/>
      <c r="K11" s="108"/>
      <c r="L11" s="108"/>
    </row>
    <row r="13" spans="4:12">
      <c r="D13" s="101"/>
      <c r="E13" s="101"/>
      <c r="F13" s="101"/>
      <c r="G13" s="101"/>
      <c r="H13" s="101"/>
      <c r="I13" s="101"/>
      <c r="J13" s="101"/>
      <c r="L13" s="101"/>
    </row>
  </sheetData>
  <sheetProtection algorithmName="SHA-512" hashValue="Ao4GTAIUG0J2eOwoiMOZgsWekaQ8u6xfS+rhzh5+eexS19RiMCaqEjR8rWBi8YNwKGTOLw1bER5dchD4K/uAlQ==" saltValue="yq95ffDOTk/MKFMjOk1vdA==" spinCount="100000" sheet="1" sort="0"/>
  <sortState ref="D5:L8">
    <sortCondition ref="L5:L8" descending="1"/>
    <sortCondition ref="K5:K8" descending="1"/>
    <sortCondition ref="E5:E8"/>
    <sortCondition ref="I5:I8" descending="1"/>
    <sortCondition ref="J5:J8"/>
  </sortState>
  <mergeCells count="3">
    <mergeCell ref="D3:L3"/>
    <mergeCell ref="D11:L11"/>
    <mergeCell ref="D13:L13"/>
  </mergeCells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0"/>
  <dimension ref="F2:W30"/>
  <sheetViews>
    <sheetView zoomScale="70" zoomScaleNormal="70" workbookViewId="0">
      <selection activeCell="M6" sqref="M6:P12"/>
    </sheetView>
  </sheetViews>
  <sheetFormatPr defaultColWidth="11" defaultRowHeight="24.95" customHeight="1"/>
  <cols>
    <col min="1" max="4" width="11.4259259259259" style="62"/>
    <col min="5" max="5" width="2.71296296296296" style="62" customWidth="1"/>
    <col min="6" max="6" width="43" style="62" customWidth="1"/>
    <col min="7" max="7" width="10.5740740740741" style="63" customWidth="1"/>
    <col min="8" max="8" width="19.712962962963" style="62" customWidth="1"/>
    <col min="9" max="9" width="11.4259259259259" style="63"/>
    <col min="10" max="10" width="18.287037037037" style="62" customWidth="1"/>
    <col min="11" max="11" width="8.42592592592593" style="62" customWidth="1"/>
    <col min="12" max="12" width="11" style="62" customWidth="1"/>
    <col min="13" max="13" width="9.42592592592593" style="62" customWidth="1"/>
    <col min="14" max="16" width="8.42592592592593" style="62" customWidth="1"/>
    <col min="17" max="17" width="11.4259259259259" style="62"/>
    <col min="18" max="18" width="8.28703703703704" style="62" customWidth="1"/>
    <col min="19" max="19" width="19.712962962963" style="62" customWidth="1"/>
    <col min="20" max="20" width="11.4259259259259" style="63"/>
    <col min="21" max="21" width="21.287037037037" style="62" customWidth="1"/>
    <col min="22" max="22" width="10.5740740740741" style="63" customWidth="1"/>
    <col min="23" max="23" width="43" style="62" customWidth="1"/>
    <col min="24" max="24" width="2.71296296296296" style="62" customWidth="1"/>
    <col min="25" max="16384" width="11.4259259259259" style="62"/>
  </cols>
  <sheetData>
    <row r="2" customHeight="1" spans="6:23">
      <c r="F2" s="64" t="s">
        <v>115</v>
      </c>
      <c r="W2" s="64" t="s">
        <v>116</v>
      </c>
    </row>
    <row r="3" customHeight="1" spans="6:23">
      <c r="F3" s="65" t="str">
        <f>'C1'!D5</f>
        <v>FAMA MANTENIMIENTO</v>
      </c>
      <c r="W3" s="65" t="e">
        <f>'C7'!D5</f>
        <v>#REF!</v>
      </c>
    </row>
    <row r="4" customHeight="1" spans="6:22">
      <c r="F4" s="66"/>
      <c r="G4" s="67"/>
      <c r="H4" s="68"/>
      <c r="I4" s="71"/>
      <c r="J4" s="71"/>
      <c r="K4" s="71"/>
      <c r="L4" s="71"/>
      <c r="M4" s="71"/>
      <c r="N4" s="71"/>
      <c r="O4" s="71"/>
      <c r="P4" s="71"/>
      <c r="Q4" s="71"/>
      <c r="R4" s="71"/>
      <c r="U4" s="68"/>
      <c r="V4" s="94"/>
    </row>
    <row r="5" customHeight="1" spans="6:22">
      <c r="F5" s="69"/>
      <c r="H5" s="65"/>
      <c r="I5" s="71"/>
      <c r="J5" s="71"/>
      <c r="K5" s="71"/>
      <c r="L5" s="71"/>
      <c r="M5" s="71"/>
      <c r="N5" s="71"/>
      <c r="O5" s="71"/>
      <c r="P5" s="71"/>
      <c r="Q5" s="71"/>
      <c r="R5" s="71"/>
      <c r="U5" s="65"/>
      <c r="V5" s="83"/>
    </row>
    <row r="6" customHeight="1" spans="6:23">
      <c r="F6" s="64" t="s">
        <v>117</v>
      </c>
      <c r="I6" s="72"/>
      <c r="K6" s="73"/>
      <c r="L6" s="73"/>
      <c r="M6" s="74" t="s">
        <v>118</v>
      </c>
      <c r="N6" s="75"/>
      <c r="O6" s="75"/>
      <c r="P6" s="76"/>
      <c r="Q6" s="73"/>
      <c r="R6" s="73"/>
      <c r="U6" s="95"/>
      <c r="W6" s="64" t="s">
        <v>119</v>
      </c>
    </row>
    <row r="7" customHeight="1" spans="6:23">
      <c r="F7" s="65" t="e">
        <f>'C7'!D6</f>
        <v>#REF!</v>
      </c>
      <c r="I7" s="72"/>
      <c r="M7" s="77"/>
      <c r="N7" s="78"/>
      <c r="O7" s="78"/>
      <c r="P7" s="79"/>
      <c r="U7" s="96"/>
      <c r="W7" s="70" t="e">
        <f>'C1'!D6</f>
        <v>#REF!</v>
      </c>
    </row>
    <row r="8" customHeight="1" spans="9:21">
      <c r="I8" s="80"/>
      <c r="J8" s="68"/>
      <c r="K8" s="81"/>
      <c r="L8" s="81"/>
      <c r="M8" s="77"/>
      <c r="N8" s="78"/>
      <c r="O8" s="78"/>
      <c r="P8" s="79"/>
      <c r="S8" s="68"/>
      <c r="T8" s="97"/>
      <c r="U8" s="96"/>
    </row>
    <row r="9" customHeight="1" spans="9:21">
      <c r="I9" s="72"/>
      <c r="J9" s="65"/>
      <c r="K9" s="81"/>
      <c r="L9" s="81"/>
      <c r="M9" s="77"/>
      <c r="N9" s="78"/>
      <c r="O9" s="78"/>
      <c r="P9" s="79"/>
      <c r="S9" s="65"/>
      <c r="T9" s="71"/>
      <c r="U9" s="96"/>
    </row>
    <row r="10" customHeight="1" spans="6:23">
      <c r="F10" s="64" t="s">
        <v>120</v>
      </c>
      <c r="I10" s="72"/>
      <c r="J10" s="66"/>
      <c r="M10" s="77"/>
      <c r="N10" s="78"/>
      <c r="O10" s="78"/>
      <c r="P10" s="79"/>
      <c r="Q10" s="71"/>
      <c r="R10" s="82"/>
      <c r="U10" s="96"/>
      <c r="W10" s="64" t="s">
        <v>121</v>
      </c>
    </row>
    <row r="11" customHeight="1" spans="6:23">
      <c r="F11" s="70" t="str">
        <f>'C5'!D5</f>
        <v>DON JUAN BAR</v>
      </c>
      <c r="I11" s="72"/>
      <c r="J11" s="82"/>
      <c r="M11" s="77"/>
      <c r="N11" s="78"/>
      <c r="O11" s="78"/>
      <c r="P11" s="79"/>
      <c r="Q11" s="71"/>
      <c r="R11" s="82"/>
      <c r="U11" s="98"/>
      <c r="W11" s="70" t="e">
        <f>'C3'!D5</f>
        <v>#REF!</v>
      </c>
    </row>
    <row r="12" customHeight="1" spans="6:22">
      <c r="F12" s="66"/>
      <c r="G12" s="67"/>
      <c r="H12" s="68"/>
      <c r="I12" s="71"/>
      <c r="J12" s="83"/>
      <c r="K12" s="71"/>
      <c r="L12" s="71"/>
      <c r="M12" s="84"/>
      <c r="N12" s="85"/>
      <c r="O12" s="85"/>
      <c r="P12" s="86"/>
      <c r="R12" s="83"/>
      <c r="U12" s="68"/>
      <c r="V12" s="94"/>
    </row>
    <row r="13" customHeight="1" spans="6:22">
      <c r="F13" s="69"/>
      <c r="H13" s="65"/>
      <c r="I13" s="71"/>
      <c r="J13" s="83"/>
      <c r="K13" s="71"/>
      <c r="L13" s="71"/>
      <c r="M13" s="71"/>
      <c r="N13" s="71"/>
      <c r="O13" s="71"/>
      <c r="P13" s="71"/>
      <c r="R13" s="83"/>
      <c r="U13" s="65"/>
      <c r="V13" s="83"/>
    </row>
    <row r="14" customHeight="1" spans="6:23">
      <c r="F14" s="64" t="s">
        <v>122</v>
      </c>
      <c r="J14" s="82"/>
      <c r="R14" s="82"/>
      <c r="W14" s="64" t="s">
        <v>123</v>
      </c>
    </row>
    <row r="15" customHeight="1" spans="6:23">
      <c r="F15" s="70" t="e">
        <f>'C3'!D6</f>
        <v>#REF!</v>
      </c>
      <c r="J15" s="82"/>
      <c r="K15" s="87"/>
      <c r="L15" s="68"/>
      <c r="M15" s="88"/>
      <c r="N15" s="89"/>
      <c r="O15" s="90"/>
      <c r="P15" s="91"/>
      <c r="Q15" s="68"/>
      <c r="R15" s="99"/>
      <c r="W15" s="70" t="e">
        <f>'C5'!D6</f>
        <v>#REF!</v>
      </c>
    </row>
    <row r="16" customHeight="1" spans="10:18">
      <c r="J16" s="82"/>
      <c r="L16" s="65"/>
      <c r="M16" s="71"/>
      <c r="N16" s="92"/>
      <c r="O16" s="93"/>
      <c r="Q16" s="65"/>
      <c r="R16" s="82"/>
    </row>
    <row r="17" customHeight="1" spans="6:23">
      <c r="F17" s="64" t="s">
        <v>124</v>
      </c>
      <c r="J17" s="82"/>
      <c r="Q17" s="71"/>
      <c r="R17" s="82"/>
      <c r="W17" s="64" t="s">
        <v>125</v>
      </c>
    </row>
    <row r="18" customHeight="1" spans="6:23">
      <c r="F18" s="65" t="e">
        <f>'C2'!D5</f>
        <v>#REF!</v>
      </c>
      <c r="J18" s="82"/>
      <c r="Q18" s="71"/>
      <c r="R18" s="82"/>
      <c r="W18" s="65" t="e">
        <f>'C8'!D5</f>
        <v>#REF!</v>
      </c>
    </row>
    <row r="19" customHeight="1" spans="6:22">
      <c r="F19" s="66"/>
      <c r="G19" s="67"/>
      <c r="H19" s="68"/>
      <c r="I19" s="71"/>
      <c r="J19" s="83"/>
      <c r="K19" s="71"/>
      <c r="L19" s="71"/>
      <c r="M19" s="71"/>
      <c r="N19" s="71"/>
      <c r="O19" s="71"/>
      <c r="P19" s="71"/>
      <c r="R19" s="83"/>
      <c r="U19" s="68"/>
      <c r="V19" s="94"/>
    </row>
    <row r="20" customHeight="1" spans="6:22">
      <c r="F20" s="69"/>
      <c r="H20" s="65"/>
      <c r="I20" s="71"/>
      <c r="J20" s="83"/>
      <c r="K20" s="71"/>
      <c r="L20" s="71"/>
      <c r="M20" s="71"/>
      <c r="N20" s="71"/>
      <c r="O20" s="71"/>
      <c r="P20" s="71"/>
      <c r="R20" s="83"/>
      <c r="U20" s="65"/>
      <c r="V20" s="83"/>
    </row>
    <row r="21" customHeight="1" spans="6:23">
      <c r="F21" s="64" t="s">
        <v>126</v>
      </c>
      <c r="I21" s="72"/>
      <c r="J21" s="82"/>
      <c r="R21" s="82"/>
      <c r="U21" s="95"/>
      <c r="W21" s="64" t="s">
        <v>127</v>
      </c>
    </row>
    <row r="22" customHeight="1" spans="6:23">
      <c r="F22" s="65" t="str">
        <f>'C8'!D6</f>
        <v>M Y M - ESPARTANOS</v>
      </c>
      <c r="I22" s="72"/>
      <c r="J22" s="69"/>
      <c r="K22" s="81"/>
      <c r="L22" s="81"/>
      <c r="M22" s="81"/>
      <c r="N22" s="81"/>
      <c r="O22" s="81"/>
      <c r="P22" s="81"/>
      <c r="Q22" s="71"/>
      <c r="R22" s="82"/>
      <c r="U22" s="96"/>
      <c r="W22" s="65" t="e">
        <f>'C2'!D6</f>
        <v>#REF!</v>
      </c>
    </row>
    <row r="23" customHeight="1" spans="9:21">
      <c r="I23" s="80"/>
      <c r="J23" s="68"/>
      <c r="K23" s="81"/>
      <c r="L23" s="81"/>
      <c r="M23" s="81"/>
      <c r="N23" s="81"/>
      <c r="O23" s="81"/>
      <c r="P23" s="81"/>
      <c r="Q23" s="71"/>
      <c r="S23" s="68"/>
      <c r="T23" s="97"/>
      <c r="U23" s="96"/>
    </row>
    <row r="24" customHeight="1" spans="9:21">
      <c r="I24" s="72"/>
      <c r="J24" s="65"/>
      <c r="S24" s="65"/>
      <c r="T24" s="71"/>
      <c r="U24" s="96"/>
    </row>
    <row r="25" customHeight="1" spans="6:23">
      <c r="F25" s="64" t="s">
        <v>128</v>
      </c>
      <c r="I25" s="72"/>
      <c r="U25" s="96"/>
      <c r="W25" s="64" t="s">
        <v>129</v>
      </c>
    </row>
    <row r="26" customHeight="1" spans="6:23">
      <c r="F26" s="65" t="e">
        <f>'C6'!D5</f>
        <v>#REF!</v>
      </c>
      <c r="I26" s="72"/>
      <c r="K26" s="71"/>
      <c r="L26" s="71"/>
      <c r="M26" s="71"/>
      <c r="N26" s="71"/>
      <c r="O26" s="71"/>
      <c r="P26" s="71"/>
      <c r="R26" s="71"/>
      <c r="U26" s="98"/>
      <c r="W26" s="70" t="e">
        <f>'C4'!D5</f>
        <v>#REF!</v>
      </c>
    </row>
    <row r="27" customHeight="1" spans="6:22">
      <c r="F27" s="66"/>
      <c r="G27" s="67"/>
      <c r="H27" s="68"/>
      <c r="I27" s="71"/>
      <c r="J27" s="71"/>
      <c r="K27" s="71"/>
      <c r="L27" s="71"/>
      <c r="M27" s="71"/>
      <c r="N27" s="71"/>
      <c r="O27" s="71"/>
      <c r="P27" s="71"/>
      <c r="R27" s="71"/>
      <c r="U27" s="68"/>
      <c r="V27" s="94"/>
    </row>
    <row r="28" customHeight="1" spans="6:22">
      <c r="F28" s="69"/>
      <c r="H28" s="65"/>
      <c r="I28" s="71"/>
      <c r="J28" s="71"/>
      <c r="U28" s="65"/>
      <c r="V28" s="83"/>
    </row>
    <row r="29" customHeight="1" spans="6:23">
      <c r="F29" s="64" t="s">
        <v>130</v>
      </c>
      <c r="W29" s="64" t="s">
        <v>131</v>
      </c>
    </row>
    <row r="30" customHeight="1" spans="6:23">
      <c r="F30" s="70" t="str">
        <f>'C4'!D6</f>
        <v>ALEMANA DE REPUESTOS - ESTRUCTURAS LIVIANAS</v>
      </c>
      <c r="W30" s="65" t="e">
        <f>'C6'!D6</f>
        <v>#REF!</v>
      </c>
    </row>
  </sheetData>
  <protectedRanges>
    <protectedRange sqref="H4:H5;H12:H13;H19:H20;H27:H28;J8:J9;J23:J24;L15:L16;N15:O16;Q15:Q16;S8:S9;S23:S24;U4:U5;U12:U13;U19:U20;U27:U28" name="Rango1"/>
  </protectedRanges>
  <mergeCells count="16">
    <mergeCell ref="H4:H5"/>
    <mergeCell ref="H12:H13"/>
    <mergeCell ref="H19:H20"/>
    <mergeCell ref="H27:H28"/>
    <mergeCell ref="J8:J9"/>
    <mergeCell ref="J23:J24"/>
    <mergeCell ref="L15:L16"/>
    <mergeCell ref="Q15:Q16"/>
    <mergeCell ref="S8:S9"/>
    <mergeCell ref="S23:S24"/>
    <mergeCell ref="U4:U5"/>
    <mergeCell ref="U12:U13"/>
    <mergeCell ref="U19:U20"/>
    <mergeCell ref="U27:U28"/>
    <mergeCell ref="N15:O16"/>
    <mergeCell ref="M6:P12"/>
  </mergeCells>
  <pageMargins left="0.2" right="0.2" top="3" bottom="0.75" header="0.3" footer="0.3"/>
  <pageSetup paperSize="1" scale="48" orientation="landscape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4"/>
  <dimension ref="A4:AO109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139</v>
      </c>
      <c r="Q10" s="45"/>
      <c r="R10" s="45"/>
      <c r="S10" s="46"/>
      <c r="T10" s="44"/>
      <c r="U10" s="44"/>
      <c r="W10" s="47" t="s">
        <v>139</v>
      </c>
      <c r="X10" s="48"/>
      <c r="Y10" s="54"/>
      <c r="Z10" s="44"/>
      <c r="AA10" s="44"/>
      <c r="AC10" s="47" t="s">
        <v>139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7</v>
      </c>
      <c r="E11" s="12">
        <v>7</v>
      </c>
      <c r="F11" s="12">
        <v>0</v>
      </c>
      <c r="G11" s="13">
        <v>0</v>
      </c>
      <c r="H11" s="14">
        <v>44</v>
      </c>
      <c r="I11" s="14">
        <v>14</v>
      </c>
      <c r="J11" s="14">
        <v>30</v>
      </c>
      <c r="K11" s="37">
        <v>2</v>
      </c>
      <c r="L11" s="14">
        <v>21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SUBTOTAL(9,Tabla3678910111213141557891011121314[GOLES])</f>
        <v>181</v>
      </c>
      <c r="AI11" s="60">
        <f>H20</f>
        <v>181</v>
      </c>
    </row>
    <row r="12" customHeight="1" spans="2:31">
      <c r="B12" s="15">
        <v>2</v>
      </c>
      <c r="C12" s="11" t="s">
        <v>8</v>
      </c>
      <c r="D12" s="12">
        <v>7</v>
      </c>
      <c r="E12" s="12">
        <v>4</v>
      </c>
      <c r="F12" s="12">
        <v>1</v>
      </c>
      <c r="G12" s="13">
        <v>2</v>
      </c>
      <c r="H12" s="14">
        <v>32</v>
      </c>
      <c r="I12" s="14">
        <v>18</v>
      </c>
      <c r="J12" s="14">
        <v>14</v>
      </c>
      <c r="K12" s="14">
        <v>2.57142857142857</v>
      </c>
      <c r="L12" s="14">
        <v>13</v>
      </c>
      <c r="O12" s="39">
        <v>1</v>
      </c>
      <c r="P12" s="41" t="s">
        <v>8</v>
      </c>
      <c r="Q12" s="16">
        <v>6</v>
      </c>
      <c r="R12" s="50" t="s">
        <v>141</v>
      </c>
      <c r="S12" s="16">
        <v>0</v>
      </c>
      <c r="T12" s="44"/>
      <c r="U12" s="44"/>
      <c r="V12" s="39">
        <v>1</v>
      </c>
      <c r="W12" s="41" t="s">
        <v>142</v>
      </c>
      <c r="X12" s="51" t="s">
        <v>7</v>
      </c>
      <c r="Y12" s="16">
        <v>2</v>
      </c>
      <c r="Z12" s="44"/>
      <c r="AA12" s="44"/>
      <c r="AB12" s="39">
        <v>1</v>
      </c>
      <c r="AC12" s="57" t="s">
        <v>143</v>
      </c>
      <c r="AD12" s="51" t="s">
        <v>8</v>
      </c>
      <c r="AE12" s="20">
        <v>15</v>
      </c>
    </row>
    <row r="13" customHeight="1" spans="2:31">
      <c r="B13" s="15">
        <v>3</v>
      </c>
      <c r="C13" s="11" t="s">
        <v>7</v>
      </c>
      <c r="D13" s="12">
        <v>6</v>
      </c>
      <c r="E13" s="12">
        <v>4</v>
      </c>
      <c r="F13" s="12">
        <v>1</v>
      </c>
      <c r="G13" s="13">
        <v>1</v>
      </c>
      <c r="H13" s="16">
        <v>17</v>
      </c>
      <c r="I13" s="14">
        <v>10</v>
      </c>
      <c r="J13" s="14">
        <v>7</v>
      </c>
      <c r="K13" s="14">
        <v>1.66666666666667</v>
      </c>
      <c r="L13" s="14">
        <v>13</v>
      </c>
      <c r="O13" s="39">
        <v>2</v>
      </c>
      <c r="P13" s="41" t="s">
        <v>10</v>
      </c>
      <c r="Q13" s="16">
        <v>5</v>
      </c>
      <c r="R13" s="41" t="s">
        <v>13</v>
      </c>
      <c r="S13" s="16">
        <v>4</v>
      </c>
      <c r="T13" s="44"/>
      <c r="U13" s="44"/>
      <c r="V13" s="39">
        <v>2</v>
      </c>
      <c r="W13" s="41" t="s">
        <v>144</v>
      </c>
      <c r="X13" s="51" t="s">
        <v>14</v>
      </c>
      <c r="Y13" s="16">
        <v>1</v>
      </c>
      <c r="Z13" s="44"/>
      <c r="AA13" s="44"/>
      <c r="AB13" s="39">
        <v>2</v>
      </c>
      <c r="AC13" s="58" t="s">
        <v>145</v>
      </c>
      <c r="AD13" s="17" t="s">
        <v>9</v>
      </c>
      <c r="AE13" s="12">
        <v>10</v>
      </c>
    </row>
    <row r="14" customHeight="1" spans="2:31">
      <c r="B14" s="10">
        <v>4</v>
      </c>
      <c r="C14" s="11" t="s">
        <v>11</v>
      </c>
      <c r="D14" s="12">
        <v>6</v>
      </c>
      <c r="E14" s="12">
        <v>4</v>
      </c>
      <c r="F14" s="12">
        <v>0</v>
      </c>
      <c r="G14" s="13">
        <v>2</v>
      </c>
      <c r="H14" s="21">
        <v>24</v>
      </c>
      <c r="I14" s="14">
        <v>19</v>
      </c>
      <c r="J14" s="14">
        <v>5</v>
      </c>
      <c r="K14" s="14">
        <v>3.16666666666667</v>
      </c>
      <c r="L14" s="14">
        <v>12</v>
      </c>
      <c r="O14" s="39">
        <v>3</v>
      </c>
      <c r="P14" s="41" t="s">
        <v>9</v>
      </c>
      <c r="Q14" s="16">
        <v>5</v>
      </c>
      <c r="R14" s="41" t="s">
        <v>11</v>
      </c>
      <c r="S14" s="16">
        <v>3</v>
      </c>
      <c r="T14" s="44"/>
      <c r="U14" s="44"/>
      <c r="Z14" s="44"/>
      <c r="AA14" s="44"/>
      <c r="AB14" s="39">
        <v>5</v>
      </c>
      <c r="AC14" s="58" t="s">
        <v>146</v>
      </c>
      <c r="AD14" s="17" t="s">
        <v>10</v>
      </c>
      <c r="AE14" s="12">
        <v>8</v>
      </c>
    </row>
    <row r="15" customHeight="1" spans="2:31">
      <c r="B15" s="10">
        <v>5</v>
      </c>
      <c r="C15" s="11" t="s">
        <v>23</v>
      </c>
      <c r="D15" s="12">
        <v>7</v>
      </c>
      <c r="E15" s="12">
        <v>4</v>
      </c>
      <c r="F15" s="12">
        <v>0</v>
      </c>
      <c r="G15" s="13">
        <v>3</v>
      </c>
      <c r="H15" s="21">
        <v>24</v>
      </c>
      <c r="I15" s="14">
        <v>24</v>
      </c>
      <c r="J15" s="14">
        <v>0</v>
      </c>
      <c r="K15" s="14">
        <v>3.42857142857143</v>
      </c>
      <c r="L15" s="14">
        <v>12</v>
      </c>
      <c r="O15" s="39">
        <v>4</v>
      </c>
      <c r="P15" s="41" t="s">
        <v>7</v>
      </c>
      <c r="Q15" s="16">
        <v>2</v>
      </c>
      <c r="R15" s="41" t="s">
        <v>14</v>
      </c>
      <c r="S15" s="16">
        <v>1</v>
      </c>
      <c r="T15" s="44"/>
      <c r="U15" s="44"/>
      <c r="Z15" s="44"/>
      <c r="AA15" s="44"/>
      <c r="AB15" s="39">
        <v>6</v>
      </c>
      <c r="AC15" s="58" t="s">
        <v>147</v>
      </c>
      <c r="AD15" s="17" t="s">
        <v>9</v>
      </c>
      <c r="AE15" s="12">
        <v>8</v>
      </c>
    </row>
    <row r="16" customHeight="1" spans="2:31">
      <c r="B16" s="18">
        <v>6</v>
      </c>
      <c r="C16" s="19" t="s">
        <v>20</v>
      </c>
      <c r="D16" s="20">
        <v>6</v>
      </c>
      <c r="E16" s="20">
        <v>1</v>
      </c>
      <c r="F16" s="20">
        <v>2</v>
      </c>
      <c r="G16" s="16">
        <v>3</v>
      </c>
      <c r="H16" s="21">
        <v>11</v>
      </c>
      <c r="I16" s="21">
        <v>17</v>
      </c>
      <c r="J16" s="21">
        <v>-6</v>
      </c>
      <c r="K16" s="21">
        <v>2.83333333333333</v>
      </c>
      <c r="L16" s="21">
        <v>5</v>
      </c>
      <c r="T16" s="44"/>
      <c r="U16" s="44"/>
      <c r="Z16" s="44"/>
      <c r="AA16" s="44"/>
      <c r="AB16" s="39">
        <v>7</v>
      </c>
      <c r="AC16" s="58" t="s">
        <v>148</v>
      </c>
      <c r="AD16" s="17" t="s">
        <v>10</v>
      </c>
      <c r="AE16" s="12">
        <v>7</v>
      </c>
    </row>
    <row r="17" customHeight="1" spans="2:31">
      <c r="B17" s="22">
        <v>7</v>
      </c>
      <c r="C17" s="23" t="s">
        <v>13</v>
      </c>
      <c r="D17" s="24">
        <v>6</v>
      </c>
      <c r="E17" s="24">
        <v>1</v>
      </c>
      <c r="F17" s="24">
        <v>0</v>
      </c>
      <c r="G17" s="25">
        <v>5</v>
      </c>
      <c r="H17" s="26">
        <v>12</v>
      </c>
      <c r="I17" s="26">
        <v>26</v>
      </c>
      <c r="J17" s="26">
        <v>-14</v>
      </c>
      <c r="K17" s="26">
        <v>4.33333333333333</v>
      </c>
      <c r="L17" s="26">
        <v>3</v>
      </c>
      <c r="T17" s="44"/>
      <c r="U17" s="44"/>
      <c r="AB17" s="39">
        <v>8</v>
      </c>
      <c r="AC17" s="58" t="s">
        <v>149</v>
      </c>
      <c r="AD17" s="17" t="s">
        <v>9</v>
      </c>
      <c r="AE17" s="12">
        <v>7</v>
      </c>
    </row>
    <row r="18" customHeight="1" spans="2:31">
      <c r="B18" s="22">
        <v>8</v>
      </c>
      <c r="C18" s="23" t="s">
        <v>24</v>
      </c>
      <c r="D18" s="24">
        <v>5</v>
      </c>
      <c r="E18" s="24">
        <v>1</v>
      </c>
      <c r="F18" s="24">
        <v>0</v>
      </c>
      <c r="G18" s="25">
        <v>4</v>
      </c>
      <c r="H18" s="26">
        <v>7</v>
      </c>
      <c r="I18" s="26">
        <v>28</v>
      </c>
      <c r="J18" s="26">
        <v>-21</v>
      </c>
      <c r="K18" s="26">
        <v>5.6</v>
      </c>
      <c r="L18" s="26">
        <v>3</v>
      </c>
      <c r="T18" s="44"/>
      <c r="U18" s="44"/>
      <c r="AB18" s="39">
        <v>9</v>
      </c>
      <c r="AC18" s="58" t="s">
        <v>150</v>
      </c>
      <c r="AD18" s="17" t="s">
        <v>11</v>
      </c>
      <c r="AE18" s="12">
        <v>7</v>
      </c>
    </row>
    <row r="19" customHeight="1" spans="2:31">
      <c r="B19" s="16">
        <v>9</v>
      </c>
      <c r="C19" s="23" t="s">
        <v>14</v>
      </c>
      <c r="D19" s="24">
        <v>6</v>
      </c>
      <c r="E19" s="24">
        <v>0</v>
      </c>
      <c r="F19" s="24">
        <v>0</v>
      </c>
      <c r="G19" s="25">
        <v>6</v>
      </c>
      <c r="H19" s="26">
        <v>10</v>
      </c>
      <c r="I19" s="26">
        <v>25</v>
      </c>
      <c r="J19" s="26">
        <v>-15</v>
      </c>
      <c r="K19" s="26">
        <v>4.16666666666667</v>
      </c>
      <c r="L19" s="26">
        <v>0</v>
      </c>
      <c r="T19" s="44"/>
      <c r="U19" s="44"/>
      <c r="AB19" s="39">
        <v>10</v>
      </c>
      <c r="AC19" s="58" t="s">
        <v>151</v>
      </c>
      <c r="AD19" s="17" t="s">
        <v>6</v>
      </c>
      <c r="AE19" s="12">
        <v>6</v>
      </c>
    </row>
    <row r="20" customHeight="1" spans="4:31">
      <c r="D20" s="1">
        <f>SUM(D11:D19)/2</f>
        <v>28</v>
      </c>
      <c r="E20" s="1">
        <f>SUM(E11:E19)</f>
        <v>26</v>
      </c>
      <c r="F20" s="1">
        <f>SUM(F11:F19)/2</f>
        <v>2</v>
      </c>
      <c r="G20" s="1">
        <f>SUM(G11:G19)</f>
        <v>26</v>
      </c>
      <c r="H20" s="1">
        <f>SUM(H11:H19)</f>
        <v>181</v>
      </c>
      <c r="I20" s="1">
        <f>SUM(I11:I19)</f>
        <v>181</v>
      </c>
      <c r="T20" s="44"/>
      <c r="U20" s="44"/>
      <c r="AB20" s="39">
        <v>11</v>
      </c>
      <c r="AC20" s="58" t="s">
        <v>152</v>
      </c>
      <c r="AD20" s="17" t="s">
        <v>8</v>
      </c>
      <c r="AE20" s="12">
        <v>6</v>
      </c>
    </row>
    <row r="21" customHeight="1" spans="2:31">
      <c r="B21" s="29"/>
      <c r="C21" s="1" t="s">
        <v>153</v>
      </c>
      <c r="T21" s="44"/>
      <c r="U21" s="44"/>
      <c r="AB21" s="39">
        <v>12</v>
      </c>
      <c r="AC21" s="58" t="s">
        <v>154</v>
      </c>
      <c r="AD21" s="17" t="s">
        <v>9</v>
      </c>
      <c r="AE21" s="12">
        <v>5</v>
      </c>
    </row>
    <row r="22" customHeight="1" spans="20:31">
      <c r="T22" s="44"/>
      <c r="U22" s="44"/>
      <c r="AB22" s="39">
        <v>13</v>
      </c>
      <c r="AC22" s="58" t="s">
        <v>155</v>
      </c>
      <c r="AD22" s="17" t="s">
        <v>9</v>
      </c>
      <c r="AE22" s="12">
        <v>5</v>
      </c>
    </row>
    <row r="23" customHeight="1" spans="2:31">
      <c r="B23" s="30"/>
      <c r="C23" s="30"/>
      <c r="D23" s="30"/>
      <c r="E23" s="30"/>
      <c r="F23" s="30"/>
      <c r="G23" s="30"/>
      <c r="H23" s="30"/>
      <c r="I23" s="30"/>
      <c r="J23" s="42"/>
      <c r="K23" s="42"/>
      <c r="L23" s="30"/>
      <c r="AB23" s="39">
        <v>14</v>
      </c>
      <c r="AC23" s="58" t="s">
        <v>156</v>
      </c>
      <c r="AD23" s="17" t="s">
        <v>11</v>
      </c>
      <c r="AE23" s="12">
        <v>4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AB24" s="39">
        <v>15</v>
      </c>
      <c r="AC24" s="41" t="s">
        <v>157</v>
      </c>
      <c r="AD24" s="51" t="s">
        <v>11</v>
      </c>
      <c r="AE24" s="20">
        <v>4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16</v>
      </c>
      <c r="AC25" s="58" t="s">
        <v>158</v>
      </c>
      <c r="AD25" s="17" t="s">
        <v>7</v>
      </c>
      <c r="AE25" s="12">
        <v>4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17</v>
      </c>
      <c r="AC26" s="58" t="s">
        <v>159</v>
      </c>
      <c r="AD26" s="17" t="s">
        <v>6</v>
      </c>
      <c r="AE26" s="12">
        <v>4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18</v>
      </c>
      <c r="AC27" s="58" t="s">
        <v>160</v>
      </c>
      <c r="AD27" s="17" t="s">
        <v>14</v>
      </c>
      <c r="AE27" s="12">
        <v>3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M28" s="30"/>
      <c r="AB28" s="39">
        <v>19</v>
      </c>
      <c r="AC28" s="57" t="s">
        <v>161</v>
      </c>
      <c r="AD28" s="51" t="s">
        <v>24</v>
      </c>
      <c r="AE28" s="20">
        <v>3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M29" s="30"/>
      <c r="AB29" s="39">
        <v>20</v>
      </c>
      <c r="AC29" s="58" t="s">
        <v>162</v>
      </c>
      <c r="AD29" s="17" t="s">
        <v>10</v>
      </c>
      <c r="AE29" s="12">
        <v>3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21</v>
      </c>
      <c r="AC30" s="58" t="s">
        <v>163</v>
      </c>
      <c r="AD30" s="17" t="s">
        <v>8</v>
      </c>
      <c r="AE30" s="12">
        <v>3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22</v>
      </c>
      <c r="AC31" s="41" t="s">
        <v>164</v>
      </c>
      <c r="AD31" s="19" t="s">
        <v>11</v>
      </c>
      <c r="AE31" s="16">
        <v>3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23</v>
      </c>
      <c r="AC32" s="41" t="s">
        <v>165</v>
      </c>
      <c r="AD32" s="19" t="s">
        <v>13</v>
      </c>
      <c r="AE32" s="16">
        <v>3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24</v>
      </c>
      <c r="AC33" s="58" t="s">
        <v>166</v>
      </c>
      <c r="AD33" s="17" t="s">
        <v>7</v>
      </c>
      <c r="AE33" s="12">
        <v>2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25</v>
      </c>
      <c r="AC34" s="58" t="s">
        <v>167</v>
      </c>
      <c r="AD34" s="17" t="s">
        <v>9</v>
      </c>
      <c r="AE34" s="12">
        <v>2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26</v>
      </c>
      <c r="AC35" s="41" t="s">
        <v>168</v>
      </c>
      <c r="AD35" s="19" t="s">
        <v>8</v>
      </c>
      <c r="AE35" s="16">
        <v>2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27</v>
      </c>
      <c r="AC36" s="41" t="s">
        <v>169</v>
      </c>
      <c r="AD36" s="19" t="s">
        <v>7</v>
      </c>
      <c r="AE36" s="16">
        <v>2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28</v>
      </c>
      <c r="AC37" s="58" t="s">
        <v>170</v>
      </c>
      <c r="AD37" s="17" t="s">
        <v>11</v>
      </c>
      <c r="AE37" s="12">
        <v>2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29</v>
      </c>
      <c r="AC38" s="41" t="s">
        <v>171</v>
      </c>
      <c r="AD38" s="19" t="s">
        <v>9</v>
      </c>
      <c r="AE38" s="16">
        <v>2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30</v>
      </c>
      <c r="AC39" s="58" t="s">
        <v>172</v>
      </c>
      <c r="AD39" s="17" t="s">
        <v>9</v>
      </c>
      <c r="AE39" s="16">
        <v>2</v>
      </c>
    </row>
    <row r="40" customHeight="1" spans="1:31">
      <c r="A40" s="30"/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31</v>
      </c>
      <c r="AC40" s="58" t="s">
        <v>173</v>
      </c>
      <c r="AD40" s="17" t="s">
        <v>14</v>
      </c>
      <c r="AE40" s="12">
        <v>2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32</v>
      </c>
      <c r="AC41" s="58" t="s">
        <v>174</v>
      </c>
      <c r="AD41" s="17" t="s">
        <v>10</v>
      </c>
      <c r="AE41" s="12">
        <v>2</v>
      </c>
    </row>
    <row r="42" customHeight="1" spans="2:31"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33</v>
      </c>
      <c r="AC42" s="58" t="s">
        <v>175</v>
      </c>
      <c r="AD42" s="17" t="s">
        <v>10</v>
      </c>
      <c r="AE42" s="12">
        <v>2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34</v>
      </c>
      <c r="AC43" s="58" t="s">
        <v>176</v>
      </c>
      <c r="AD43" s="17" t="s">
        <v>9</v>
      </c>
      <c r="AE43" s="12">
        <v>2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35</v>
      </c>
      <c r="AC44" s="58" t="s">
        <v>177</v>
      </c>
      <c r="AD44" s="17" t="s">
        <v>8</v>
      </c>
      <c r="AE44" s="12">
        <v>2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36</v>
      </c>
      <c r="AC45" s="41" t="s">
        <v>144</v>
      </c>
      <c r="AD45" s="19" t="s">
        <v>14</v>
      </c>
      <c r="AE45" s="16">
        <v>2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37</v>
      </c>
      <c r="AC46" s="58" t="s">
        <v>178</v>
      </c>
      <c r="AD46" s="17" t="s">
        <v>11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38</v>
      </c>
      <c r="AC47" s="58" t="s">
        <v>179</v>
      </c>
      <c r="AD47" s="17" t="s">
        <v>11</v>
      </c>
      <c r="AE47" s="12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39</v>
      </c>
      <c r="AC48" s="58" t="s">
        <v>180</v>
      </c>
      <c r="AD48" s="17" t="s">
        <v>10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40</v>
      </c>
      <c r="AC49" s="58" t="s">
        <v>181</v>
      </c>
      <c r="AD49" s="17" t="s">
        <v>7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41</v>
      </c>
      <c r="AC50" s="58" t="s">
        <v>182</v>
      </c>
      <c r="AD50" s="17" t="s">
        <v>7</v>
      </c>
      <c r="AE50" s="12">
        <v>1</v>
      </c>
    </row>
    <row r="51" customHeight="1" spans="2:4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42</v>
      </c>
      <c r="AC51" s="58" t="s">
        <v>183</v>
      </c>
      <c r="AD51" s="17" t="s">
        <v>6</v>
      </c>
      <c r="AE51" s="12">
        <v>1</v>
      </c>
      <c r="AO51" s="1" t="s">
        <v>184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B52" s="39">
        <v>43</v>
      </c>
      <c r="AC52" s="58" t="s">
        <v>185</v>
      </c>
      <c r="AD52" s="17" t="s">
        <v>13</v>
      </c>
      <c r="AE52" s="12">
        <v>1</v>
      </c>
    </row>
    <row r="53" customHeight="1" spans="2:3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B53" s="39">
        <v>44</v>
      </c>
      <c r="AC53" s="58" t="s">
        <v>186</v>
      </c>
      <c r="AD53" s="17" t="s">
        <v>13</v>
      </c>
      <c r="AE53" s="12">
        <v>1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B54" s="39">
        <v>45</v>
      </c>
      <c r="AC54" s="58" t="s">
        <v>187</v>
      </c>
      <c r="AD54" s="17" t="s">
        <v>13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B55" s="39">
        <v>46</v>
      </c>
      <c r="AC55" s="58" t="s">
        <v>188</v>
      </c>
      <c r="AD55" s="17" t="s">
        <v>8</v>
      </c>
      <c r="AE55" s="12">
        <v>1</v>
      </c>
    </row>
    <row r="56" customHeight="1" spans="2:31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  <c r="AB56" s="39">
        <v>47</v>
      </c>
      <c r="AC56" s="58" t="s">
        <v>189</v>
      </c>
      <c r="AD56" s="17" t="s">
        <v>7</v>
      </c>
      <c r="AE56" s="12">
        <v>1</v>
      </c>
    </row>
    <row r="57" customHeight="1" spans="2:31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  <c r="AB57" s="39">
        <v>48</v>
      </c>
      <c r="AC57" s="58" t="s">
        <v>190</v>
      </c>
      <c r="AD57" s="17" t="s">
        <v>7</v>
      </c>
      <c r="AE57" s="16">
        <v>1</v>
      </c>
    </row>
    <row r="58" customHeight="1" spans="2:31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  <c r="AB58" s="39">
        <v>49</v>
      </c>
      <c r="AC58" s="61">
        <v>27</v>
      </c>
      <c r="AD58" s="17" t="s">
        <v>7</v>
      </c>
      <c r="AE58" s="12">
        <v>1</v>
      </c>
    </row>
    <row r="59" customHeight="1" spans="2:31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  <c r="AB59" s="39">
        <v>50</v>
      </c>
      <c r="AC59" s="61" t="s">
        <v>191</v>
      </c>
      <c r="AD59" s="17" t="s">
        <v>24</v>
      </c>
      <c r="AE59" s="12">
        <v>1</v>
      </c>
    </row>
    <row r="60" customHeight="1" spans="2:31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  <c r="AB60" s="39">
        <v>51</v>
      </c>
      <c r="AC60" s="58" t="s">
        <v>192</v>
      </c>
      <c r="AD60" s="17" t="s">
        <v>14</v>
      </c>
      <c r="AE60" s="12">
        <v>1</v>
      </c>
    </row>
    <row r="61" customHeight="1" spans="2:31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  <c r="AB61" s="39">
        <v>52</v>
      </c>
      <c r="AC61" s="41" t="s">
        <v>193</v>
      </c>
      <c r="AD61" s="19" t="s">
        <v>9</v>
      </c>
      <c r="AE61" s="16">
        <v>1</v>
      </c>
    </row>
    <row r="62" customHeight="1" spans="2:31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  <c r="AB62" s="39">
        <v>53</v>
      </c>
      <c r="AC62" s="58" t="s">
        <v>194</v>
      </c>
      <c r="AD62" s="17" t="s">
        <v>13</v>
      </c>
      <c r="AE62" s="12">
        <v>1</v>
      </c>
    </row>
    <row r="63" customHeight="1" spans="2:31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  <c r="AB63" s="39">
        <v>54</v>
      </c>
      <c r="AC63" s="58" t="s">
        <v>195</v>
      </c>
      <c r="AD63" s="17" t="s">
        <v>8</v>
      </c>
      <c r="AE63" s="12">
        <v>1</v>
      </c>
    </row>
    <row r="64" customHeight="1" spans="2:31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  <c r="AB64" s="39">
        <v>55</v>
      </c>
      <c r="AC64" s="58" t="s">
        <v>196</v>
      </c>
      <c r="AD64" s="17" t="s">
        <v>7</v>
      </c>
      <c r="AE64" s="12">
        <v>1</v>
      </c>
    </row>
    <row r="65" customHeight="1" spans="2:31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  <c r="AB65" s="39">
        <v>56</v>
      </c>
      <c r="AC65" s="58" t="s">
        <v>197</v>
      </c>
      <c r="AD65" s="17" t="s">
        <v>11</v>
      </c>
      <c r="AE65" s="16">
        <v>1</v>
      </c>
    </row>
    <row r="66" customHeight="1" spans="2:31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  <c r="AB66" s="39">
        <v>57</v>
      </c>
      <c r="AC66" s="58" t="s">
        <v>198</v>
      </c>
      <c r="AD66" s="17" t="s">
        <v>10</v>
      </c>
      <c r="AE66" s="12">
        <v>1</v>
      </c>
    </row>
    <row r="67" customHeight="1" spans="1:31">
      <c r="A67" s="30"/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  <c r="AB67" s="39">
        <v>58</v>
      </c>
      <c r="AC67" s="58" t="s">
        <v>199</v>
      </c>
      <c r="AD67" s="17" t="s">
        <v>8</v>
      </c>
      <c r="AE67" s="12">
        <v>1</v>
      </c>
    </row>
    <row r="68" customHeight="1" spans="2:31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  <c r="AB68" s="39">
        <v>59</v>
      </c>
      <c r="AC68" s="58" t="s">
        <v>200</v>
      </c>
      <c r="AD68" s="17" t="s">
        <v>24</v>
      </c>
      <c r="AE68" s="12">
        <v>1</v>
      </c>
    </row>
    <row r="69" customHeight="1" spans="2:31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  <c r="AB69" s="39">
        <v>60</v>
      </c>
      <c r="AC69" s="58" t="s">
        <v>201</v>
      </c>
      <c r="AD69" s="17" t="s">
        <v>24</v>
      </c>
      <c r="AE69" s="12">
        <v>1</v>
      </c>
    </row>
    <row r="70" customHeight="1" spans="2:31"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  <c r="AB70" s="39">
        <v>61</v>
      </c>
      <c r="AC70" s="58" t="s">
        <v>202</v>
      </c>
      <c r="AD70" s="17" t="s">
        <v>13</v>
      </c>
      <c r="AE70" s="12">
        <v>1</v>
      </c>
    </row>
    <row r="71" customHeight="1" spans="2:31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  <c r="AB71" s="39">
        <v>62</v>
      </c>
      <c r="AC71" s="41" t="s">
        <v>203</v>
      </c>
      <c r="AD71" s="19" t="s">
        <v>13</v>
      </c>
      <c r="AE71" s="16">
        <v>1</v>
      </c>
    </row>
    <row r="72" customHeight="1" spans="2:31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  <c r="AB72" s="39">
        <v>63</v>
      </c>
      <c r="AC72" s="58" t="s">
        <v>204</v>
      </c>
      <c r="AD72" s="17" t="s">
        <v>13</v>
      </c>
      <c r="AE72" s="12">
        <v>1</v>
      </c>
    </row>
    <row r="73" customHeight="1" spans="2:31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  <c r="AB73" s="39">
        <v>64</v>
      </c>
      <c r="AC73" s="41" t="s">
        <v>205</v>
      </c>
      <c r="AD73" s="19" t="s">
        <v>13</v>
      </c>
      <c r="AE73" s="16">
        <v>1</v>
      </c>
    </row>
    <row r="74" customHeight="1" spans="2:31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  <c r="AB74" s="39">
        <v>65</v>
      </c>
      <c r="AC74" s="58" t="s">
        <v>206</v>
      </c>
      <c r="AD74" s="17" t="s">
        <v>24</v>
      </c>
      <c r="AE74" s="12">
        <v>1</v>
      </c>
    </row>
    <row r="75" customHeight="1" spans="2:31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  <c r="AB75" s="39">
        <v>66</v>
      </c>
      <c r="AC75" s="58" t="s">
        <v>207</v>
      </c>
      <c r="AD75" s="17" t="s">
        <v>14</v>
      </c>
      <c r="AE75" s="12">
        <v>1</v>
      </c>
    </row>
    <row r="76" customHeight="1" spans="2:31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  <c r="AB76" s="39">
        <v>67</v>
      </c>
      <c r="AC76" s="58" t="s">
        <v>208</v>
      </c>
      <c r="AD76" s="17" t="s">
        <v>7</v>
      </c>
      <c r="AE76" s="12">
        <v>1</v>
      </c>
    </row>
    <row r="77" customHeight="1" spans="2:31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  <c r="AB77" s="39">
        <v>68</v>
      </c>
      <c r="AC77" s="58" t="s">
        <v>209</v>
      </c>
      <c r="AD77" s="17" t="s">
        <v>14</v>
      </c>
      <c r="AE77" s="12">
        <v>1</v>
      </c>
    </row>
    <row r="78" customHeight="1" spans="2:31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  <c r="AB78" s="39">
        <v>69</v>
      </c>
      <c r="AC78" s="58" t="s">
        <v>210</v>
      </c>
      <c r="AD78" s="17" t="s">
        <v>7</v>
      </c>
      <c r="AE78" s="12">
        <v>1</v>
      </c>
    </row>
    <row r="79" customHeight="1" spans="2:31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  <c r="AB79" s="39">
        <v>70</v>
      </c>
      <c r="AC79" s="41" t="s">
        <v>211</v>
      </c>
      <c r="AD79" s="19" t="s">
        <v>7</v>
      </c>
      <c r="AE79" s="16">
        <v>1</v>
      </c>
    </row>
    <row r="80" customHeight="1" spans="2:31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  <c r="AB80" s="39">
        <v>71</v>
      </c>
      <c r="AC80" s="58" t="s">
        <v>212</v>
      </c>
      <c r="AD80" s="17" t="s">
        <v>11</v>
      </c>
      <c r="AE80" s="12">
        <v>1</v>
      </c>
    </row>
    <row r="81" customHeight="1" spans="2:31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  <c r="AB81" s="39">
        <v>72</v>
      </c>
      <c r="AC81" s="58" t="s">
        <v>213</v>
      </c>
      <c r="AD81" s="17" t="s">
        <v>13</v>
      </c>
      <c r="AE81" s="12">
        <v>1</v>
      </c>
    </row>
    <row r="82" customHeight="1" spans="2:31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  <c r="AB82" s="39">
        <v>73</v>
      </c>
      <c r="AC82" s="58" t="s">
        <v>214</v>
      </c>
      <c r="AD82" s="17" t="s">
        <v>8</v>
      </c>
      <c r="AE82" s="12">
        <v>1</v>
      </c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1:13">
      <c r="A95" s="30"/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2:13"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13:13">
      <c r="M105" s="30"/>
    </row>
    <row r="106" customHeight="1" spans="13:13"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</sheetData>
  <sortState ref="P12:S15">
    <sortCondition ref="Q12:Q15" descending="1"/>
    <sortCondition ref="S12:S15" descending="1"/>
  </sortState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3"/>
  <dimension ref="A4:AO111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215</v>
      </c>
      <c r="Q10" s="45"/>
      <c r="R10" s="45"/>
      <c r="S10" s="46"/>
      <c r="T10" s="44"/>
      <c r="U10" s="44"/>
      <c r="W10" s="47" t="s">
        <v>215</v>
      </c>
      <c r="X10" s="48"/>
      <c r="Y10" s="54"/>
      <c r="Z10" s="44"/>
      <c r="AA10" s="44"/>
      <c r="AC10" s="47" t="s">
        <v>215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6</v>
      </c>
      <c r="E11" s="12">
        <v>6</v>
      </c>
      <c r="F11" s="12">
        <v>0</v>
      </c>
      <c r="G11" s="13">
        <v>0</v>
      </c>
      <c r="H11" s="14">
        <v>39</v>
      </c>
      <c r="I11" s="14">
        <v>11</v>
      </c>
      <c r="J11" s="14">
        <v>28</v>
      </c>
      <c r="K11" s="37">
        <v>1.83333333333333</v>
      </c>
      <c r="L11" s="14">
        <v>18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SUBTOTAL(9,Tabla36789101112131415578910111213[GOLES])</f>
        <v>155</v>
      </c>
      <c r="AI11" s="60">
        <f>H20</f>
        <v>155</v>
      </c>
    </row>
    <row r="12" customHeight="1" spans="2:31">
      <c r="B12" s="15">
        <v>2</v>
      </c>
      <c r="C12" s="11" t="s">
        <v>11</v>
      </c>
      <c r="D12" s="12">
        <v>5</v>
      </c>
      <c r="E12" s="12">
        <v>4</v>
      </c>
      <c r="F12" s="12">
        <v>0</v>
      </c>
      <c r="G12" s="13">
        <v>1</v>
      </c>
      <c r="H12" s="14">
        <v>21</v>
      </c>
      <c r="I12" s="14">
        <v>14</v>
      </c>
      <c r="J12" s="14">
        <v>7</v>
      </c>
      <c r="K12" s="14">
        <v>2.8</v>
      </c>
      <c r="L12" s="14">
        <v>12</v>
      </c>
      <c r="O12" s="39">
        <v>1</v>
      </c>
      <c r="P12" s="41" t="s">
        <v>8</v>
      </c>
      <c r="Q12" s="16">
        <v>6</v>
      </c>
      <c r="R12" s="50" t="s">
        <v>11</v>
      </c>
      <c r="S12" s="16">
        <v>2</v>
      </c>
      <c r="T12" s="44"/>
      <c r="U12" s="44"/>
      <c r="V12" s="39">
        <v>1</v>
      </c>
      <c r="W12" s="41" t="s">
        <v>216</v>
      </c>
      <c r="X12" s="51" t="s">
        <v>14</v>
      </c>
      <c r="Y12" s="16">
        <v>2</v>
      </c>
      <c r="Z12" s="44"/>
      <c r="AA12" s="44"/>
      <c r="AB12" s="39">
        <v>1</v>
      </c>
      <c r="AC12" s="57" t="s">
        <v>143</v>
      </c>
      <c r="AD12" s="51" t="s">
        <v>8</v>
      </c>
      <c r="AE12" s="20">
        <v>12</v>
      </c>
    </row>
    <row r="13" customHeight="1" spans="2:31">
      <c r="B13" s="15">
        <v>3</v>
      </c>
      <c r="C13" s="11" t="s">
        <v>8</v>
      </c>
      <c r="D13" s="12">
        <v>6</v>
      </c>
      <c r="E13" s="12">
        <v>3</v>
      </c>
      <c r="F13" s="12">
        <v>1</v>
      </c>
      <c r="G13" s="13">
        <v>2</v>
      </c>
      <c r="H13" s="16">
        <v>26</v>
      </c>
      <c r="I13" s="14">
        <v>18</v>
      </c>
      <c r="J13" s="14">
        <v>8</v>
      </c>
      <c r="K13" s="14">
        <v>3</v>
      </c>
      <c r="L13" s="14">
        <v>10</v>
      </c>
      <c r="O13" s="39">
        <v>2</v>
      </c>
      <c r="P13" s="41" t="s">
        <v>9</v>
      </c>
      <c r="Q13" s="16">
        <v>6</v>
      </c>
      <c r="R13" s="41" t="s">
        <v>13</v>
      </c>
      <c r="S13" s="16">
        <v>0</v>
      </c>
      <c r="T13" s="44"/>
      <c r="U13" s="44"/>
      <c r="V13" s="39">
        <v>2</v>
      </c>
      <c r="W13" s="41" t="s">
        <v>217</v>
      </c>
      <c r="X13" s="51" t="s">
        <v>10</v>
      </c>
      <c r="Y13" s="16">
        <v>2</v>
      </c>
      <c r="Z13" s="44"/>
      <c r="AA13" s="44"/>
      <c r="AB13" s="39">
        <v>2</v>
      </c>
      <c r="AC13" s="58" t="s">
        <v>145</v>
      </c>
      <c r="AD13" s="17" t="s">
        <v>9</v>
      </c>
      <c r="AE13" s="12">
        <v>10</v>
      </c>
    </row>
    <row r="14" customHeight="1" spans="2:31">
      <c r="B14" s="10">
        <v>4</v>
      </c>
      <c r="C14" s="11" t="s">
        <v>7</v>
      </c>
      <c r="D14" s="12">
        <v>5</v>
      </c>
      <c r="E14" s="12">
        <v>3</v>
      </c>
      <c r="F14" s="12">
        <v>1</v>
      </c>
      <c r="G14" s="13">
        <v>1</v>
      </c>
      <c r="H14" s="14">
        <v>15</v>
      </c>
      <c r="I14" s="14">
        <v>9</v>
      </c>
      <c r="J14" s="14">
        <v>6</v>
      </c>
      <c r="K14" s="14">
        <v>1.8</v>
      </c>
      <c r="L14" s="14">
        <v>10</v>
      </c>
      <c r="O14" s="39">
        <v>3</v>
      </c>
      <c r="P14" s="41" t="s">
        <v>10</v>
      </c>
      <c r="Q14" s="16">
        <v>4</v>
      </c>
      <c r="R14" s="41" t="s">
        <v>14</v>
      </c>
      <c r="S14" s="16">
        <v>2</v>
      </c>
      <c r="T14" s="44"/>
      <c r="U14" s="44"/>
      <c r="V14" s="39">
        <v>3</v>
      </c>
      <c r="W14" s="41" t="s">
        <v>160</v>
      </c>
      <c r="X14" s="51" t="s">
        <v>14</v>
      </c>
      <c r="Y14" s="16">
        <v>1</v>
      </c>
      <c r="Z14" s="44"/>
      <c r="AA14" s="44"/>
      <c r="AB14" s="39">
        <v>3</v>
      </c>
      <c r="AC14" s="58" t="s">
        <v>147</v>
      </c>
      <c r="AD14" s="17" t="s">
        <v>9</v>
      </c>
      <c r="AE14" s="12">
        <v>8</v>
      </c>
    </row>
    <row r="15" customHeight="1" spans="2:31">
      <c r="B15" s="10">
        <v>5</v>
      </c>
      <c r="C15" s="17" t="s">
        <v>23</v>
      </c>
      <c r="D15" s="12">
        <v>6</v>
      </c>
      <c r="E15" s="12">
        <v>3</v>
      </c>
      <c r="F15" s="12">
        <v>0</v>
      </c>
      <c r="G15" s="13">
        <v>3</v>
      </c>
      <c r="H15" s="14">
        <v>19</v>
      </c>
      <c r="I15" s="14">
        <v>20</v>
      </c>
      <c r="J15" s="14">
        <v>-1</v>
      </c>
      <c r="K15" s="14">
        <v>3.33333333333333</v>
      </c>
      <c r="L15" s="14">
        <v>9</v>
      </c>
      <c r="T15" s="44"/>
      <c r="U15" s="44"/>
      <c r="V15" s="39">
        <v>4</v>
      </c>
      <c r="W15" s="41" t="s">
        <v>218</v>
      </c>
      <c r="X15" s="51" t="s">
        <v>10</v>
      </c>
      <c r="Y15" s="16">
        <v>1</v>
      </c>
      <c r="Z15" s="44"/>
      <c r="AA15" s="44"/>
      <c r="AB15" s="39">
        <v>4</v>
      </c>
      <c r="AC15" s="58" t="s">
        <v>219</v>
      </c>
      <c r="AD15" s="17" t="s">
        <v>11</v>
      </c>
      <c r="AE15" s="12">
        <v>7</v>
      </c>
    </row>
    <row r="16" customHeight="1" spans="2:31">
      <c r="B16" s="18">
        <v>6</v>
      </c>
      <c r="C16" s="19" t="s">
        <v>20</v>
      </c>
      <c r="D16" s="20">
        <v>6</v>
      </c>
      <c r="E16" s="20">
        <v>1</v>
      </c>
      <c r="F16" s="20">
        <v>2</v>
      </c>
      <c r="G16" s="16">
        <v>3</v>
      </c>
      <c r="H16" s="21">
        <v>11</v>
      </c>
      <c r="I16" s="21">
        <v>17</v>
      </c>
      <c r="J16" s="21">
        <v>-6</v>
      </c>
      <c r="K16" s="21">
        <v>2.83333333333333</v>
      </c>
      <c r="L16" s="21">
        <v>5</v>
      </c>
      <c r="T16" s="44"/>
      <c r="U16" s="44"/>
      <c r="Z16" s="44"/>
      <c r="AA16" s="44"/>
      <c r="AB16" s="39">
        <v>5</v>
      </c>
      <c r="AC16" s="58" t="s">
        <v>151</v>
      </c>
      <c r="AD16" s="17" t="s">
        <v>6</v>
      </c>
      <c r="AE16" s="12">
        <v>6</v>
      </c>
    </row>
    <row r="17" customHeight="1" spans="2:31">
      <c r="B17" s="22">
        <v>7</v>
      </c>
      <c r="C17" s="23" t="s">
        <v>13</v>
      </c>
      <c r="D17" s="24">
        <v>5</v>
      </c>
      <c r="E17" s="24">
        <v>1</v>
      </c>
      <c r="F17" s="24">
        <v>0</v>
      </c>
      <c r="G17" s="25">
        <v>4</v>
      </c>
      <c r="H17" s="26">
        <v>8</v>
      </c>
      <c r="I17" s="26">
        <v>21</v>
      </c>
      <c r="J17" s="26">
        <v>-13</v>
      </c>
      <c r="K17" s="26">
        <v>4.2</v>
      </c>
      <c r="L17" s="26">
        <v>3</v>
      </c>
      <c r="T17" s="44"/>
      <c r="U17" s="44"/>
      <c r="Z17" s="44"/>
      <c r="AA17" s="44"/>
      <c r="AB17" s="39">
        <v>6</v>
      </c>
      <c r="AC17" s="58" t="s">
        <v>152</v>
      </c>
      <c r="AD17" s="17" t="s">
        <v>8</v>
      </c>
      <c r="AE17" s="12">
        <v>6</v>
      </c>
    </row>
    <row r="18" customHeight="1" spans="2:31">
      <c r="B18" s="22">
        <v>8</v>
      </c>
      <c r="C18" s="23" t="s">
        <v>24</v>
      </c>
      <c r="D18" s="24">
        <v>4</v>
      </c>
      <c r="E18" s="24">
        <v>1</v>
      </c>
      <c r="F18" s="24">
        <v>0</v>
      </c>
      <c r="G18" s="25">
        <v>3</v>
      </c>
      <c r="H18" s="26">
        <v>7</v>
      </c>
      <c r="I18" s="26">
        <v>22</v>
      </c>
      <c r="J18" s="26">
        <v>-15</v>
      </c>
      <c r="K18" s="26">
        <v>5.5</v>
      </c>
      <c r="L18" s="26">
        <v>3</v>
      </c>
      <c r="T18" s="44"/>
      <c r="U18" s="44"/>
      <c r="Z18" s="44"/>
      <c r="AA18" s="44"/>
      <c r="AB18" s="39">
        <v>7</v>
      </c>
      <c r="AC18" s="58" t="s">
        <v>154</v>
      </c>
      <c r="AD18" s="17" t="s">
        <v>9</v>
      </c>
      <c r="AE18" s="12">
        <v>5</v>
      </c>
    </row>
    <row r="19" customHeight="1" spans="2:31">
      <c r="B19" s="16">
        <v>9</v>
      </c>
      <c r="C19" s="23" t="s">
        <v>14</v>
      </c>
      <c r="D19" s="24">
        <v>5</v>
      </c>
      <c r="E19" s="24">
        <v>0</v>
      </c>
      <c r="F19" s="24">
        <v>0</v>
      </c>
      <c r="G19" s="25">
        <v>5</v>
      </c>
      <c r="H19" s="26">
        <v>9</v>
      </c>
      <c r="I19" s="26">
        <v>23</v>
      </c>
      <c r="J19" s="26">
        <v>-14</v>
      </c>
      <c r="K19" s="26">
        <v>4.6</v>
      </c>
      <c r="L19" s="26">
        <v>0</v>
      </c>
      <c r="T19" s="44"/>
      <c r="U19" s="44"/>
      <c r="AB19" s="39">
        <v>8</v>
      </c>
      <c r="AC19" s="58" t="s">
        <v>146</v>
      </c>
      <c r="AD19" s="17" t="s">
        <v>10</v>
      </c>
      <c r="AE19" s="12">
        <v>5</v>
      </c>
    </row>
    <row r="20" customHeight="1" spans="4:31">
      <c r="D20" s="1">
        <f>SUM(D11:D19)/2</f>
        <v>24</v>
      </c>
      <c r="E20" s="1">
        <f>SUM(E11:E19)</f>
        <v>22</v>
      </c>
      <c r="F20" s="1">
        <f>SUM(F11:F19)/2</f>
        <v>2</v>
      </c>
      <c r="G20" s="1">
        <f>SUM(G11:G19)</f>
        <v>22</v>
      </c>
      <c r="H20" s="1">
        <f>SUM(H11:H19)</f>
        <v>155</v>
      </c>
      <c r="I20" s="1">
        <f>SUM(I11:I19)</f>
        <v>155</v>
      </c>
      <c r="T20" s="44"/>
      <c r="U20" s="44"/>
      <c r="AB20" s="39">
        <v>9</v>
      </c>
      <c r="AC20" s="58" t="s">
        <v>148</v>
      </c>
      <c r="AD20" s="17" t="s">
        <v>10</v>
      </c>
      <c r="AE20" s="12">
        <v>5</v>
      </c>
    </row>
    <row r="21" customHeight="1" spans="2:31">
      <c r="B21" s="29"/>
      <c r="C21" s="1" t="s">
        <v>153</v>
      </c>
      <c r="T21" s="44"/>
      <c r="U21" s="44"/>
      <c r="AB21" s="39">
        <v>10</v>
      </c>
      <c r="AC21" s="58" t="s">
        <v>156</v>
      </c>
      <c r="AD21" s="17" t="s">
        <v>11</v>
      </c>
      <c r="AE21" s="12">
        <v>4</v>
      </c>
    </row>
    <row r="22" customHeight="1" spans="20:31">
      <c r="T22" s="44"/>
      <c r="U22" s="44"/>
      <c r="AB22" s="39">
        <v>11</v>
      </c>
      <c r="AC22" s="58" t="s">
        <v>157</v>
      </c>
      <c r="AD22" s="17" t="s">
        <v>11</v>
      </c>
      <c r="AE22" s="12">
        <v>4</v>
      </c>
    </row>
    <row r="23" customHeight="1" spans="2:31">
      <c r="B23" s="30"/>
      <c r="C23" s="30"/>
      <c r="D23" s="30"/>
      <c r="E23" s="30"/>
      <c r="F23" s="30"/>
      <c r="G23" s="30"/>
      <c r="H23" s="30"/>
      <c r="I23" s="30"/>
      <c r="J23" s="42"/>
      <c r="K23" s="42"/>
      <c r="L23" s="30"/>
      <c r="T23" s="44"/>
      <c r="U23" s="44"/>
      <c r="AB23" s="39">
        <v>12</v>
      </c>
      <c r="AC23" s="58" t="s">
        <v>158</v>
      </c>
      <c r="AD23" s="17" t="s">
        <v>7</v>
      </c>
      <c r="AE23" s="12">
        <v>4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T24" s="44"/>
      <c r="U24" s="44"/>
      <c r="AB24" s="39">
        <v>13</v>
      </c>
      <c r="AC24" s="58" t="s">
        <v>159</v>
      </c>
      <c r="AD24" s="17" t="s">
        <v>6</v>
      </c>
      <c r="AE24" s="12">
        <v>4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14</v>
      </c>
      <c r="AC25" s="58" t="s">
        <v>155</v>
      </c>
      <c r="AD25" s="17" t="s">
        <v>9</v>
      </c>
      <c r="AE25" s="12">
        <v>4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149</v>
      </c>
      <c r="AD26" s="51" t="s">
        <v>9</v>
      </c>
      <c r="AE26" s="20">
        <v>4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160</v>
      </c>
      <c r="AD27" s="17" t="s">
        <v>14</v>
      </c>
      <c r="AE27" s="12">
        <v>3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161</v>
      </c>
      <c r="AD28" s="17" t="s">
        <v>24</v>
      </c>
      <c r="AE28" s="12">
        <v>3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162</v>
      </c>
      <c r="AD29" s="17" t="s">
        <v>10</v>
      </c>
      <c r="AE29" s="12">
        <v>3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7" t="s">
        <v>166</v>
      </c>
      <c r="AD30" s="51" t="s">
        <v>7</v>
      </c>
      <c r="AE30" s="20">
        <v>2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167</v>
      </c>
      <c r="AD31" s="17" t="s">
        <v>9</v>
      </c>
      <c r="AE31" s="12">
        <v>2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168</v>
      </c>
      <c r="AD32" s="17" t="s">
        <v>8</v>
      </c>
      <c r="AE32" s="12">
        <v>2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41" t="s">
        <v>169</v>
      </c>
      <c r="AD33" s="19" t="s">
        <v>7</v>
      </c>
      <c r="AE33" s="16">
        <v>2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170</v>
      </c>
      <c r="AD34" s="17" t="s">
        <v>11</v>
      </c>
      <c r="AE34" s="12">
        <v>2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171</v>
      </c>
      <c r="AD35" s="17" t="s">
        <v>9</v>
      </c>
      <c r="AE35" s="12">
        <v>2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172</v>
      </c>
      <c r="AD36" s="17" t="s">
        <v>9</v>
      </c>
      <c r="AE36" s="12">
        <v>2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41" t="s">
        <v>173</v>
      </c>
      <c r="AD37" s="19" t="s">
        <v>14</v>
      </c>
      <c r="AE37" s="16">
        <v>2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41" t="s">
        <v>174</v>
      </c>
      <c r="AD38" s="19" t="s">
        <v>10</v>
      </c>
      <c r="AE38" s="16">
        <v>2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175</v>
      </c>
      <c r="AD39" s="17" t="s">
        <v>10</v>
      </c>
      <c r="AE39" s="12">
        <v>2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41" t="s">
        <v>163</v>
      </c>
      <c r="AD40" s="19" t="s">
        <v>8</v>
      </c>
      <c r="AE40" s="16">
        <v>2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178</v>
      </c>
      <c r="AD41" s="17" t="s">
        <v>11</v>
      </c>
      <c r="AE41" s="16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179</v>
      </c>
      <c r="AD42" s="17" t="s">
        <v>11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180</v>
      </c>
      <c r="AD43" s="17" t="s">
        <v>10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176</v>
      </c>
      <c r="AD44" s="17" t="s">
        <v>9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181</v>
      </c>
      <c r="AD45" s="17" t="s">
        <v>7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182</v>
      </c>
      <c r="AD46" s="17" t="s">
        <v>7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41" t="s">
        <v>183</v>
      </c>
      <c r="AD47" s="19" t="s">
        <v>6</v>
      </c>
      <c r="AE47" s="16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58" t="s">
        <v>185</v>
      </c>
      <c r="AD48" s="17" t="s">
        <v>13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58" t="s">
        <v>186</v>
      </c>
      <c r="AD49" s="17" t="s">
        <v>13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58" t="s">
        <v>187</v>
      </c>
      <c r="AD50" s="17" t="s">
        <v>13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58" t="s">
        <v>188</v>
      </c>
      <c r="AD51" s="17" t="s">
        <v>8</v>
      </c>
      <c r="AE51" s="12">
        <v>1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B52" s="39">
        <v>41</v>
      </c>
      <c r="AC52" s="58" t="s">
        <v>177</v>
      </c>
      <c r="AD52" s="17" t="s">
        <v>8</v>
      </c>
      <c r="AE52" s="12">
        <v>1</v>
      </c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B53" s="39">
        <v>42</v>
      </c>
      <c r="AC53" s="58" t="s">
        <v>189</v>
      </c>
      <c r="AD53" s="17" t="s">
        <v>7</v>
      </c>
      <c r="AE53" s="12">
        <v>1</v>
      </c>
      <c r="AO53" s="1" t="s">
        <v>184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B54" s="39">
        <v>43</v>
      </c>
      <c r="AC54" s="58" t="s">
        <v>190</v>
      </c>
      <c r="AD54" s="17" t="s">
        <v>7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B55" s="39">
        <v>44</v>
      </c>
      <c r="AC55" s="61">
        <v>27</v>
      </c>
      <c r="AD55" s="17" t="s">
        <v>7</v>
      </c>
      <c r="AE55" s="12">
        <v>1</v>
      </c>
    </row>
    <row r="56" customHeight="1" spans="2:31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  <c r="AB56" s="39">
        <v>45</v>
      </c>
      <c r="AC56" s="61" t="s">
        <v>191</v>
      </c>
      <c r="AD56" s="17" t="s">
        <v>24</v>
      </c>
      <c r="AE56" s="12">
        <v>1</v>
      </c>
    </row>
    <row r="57" customHeight="1" spans="2:31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  <c r="AB57" s="39">
        <v>46</v>
      </c>
      <c r="AC57" s="58" t="s">
        <v>192</v>
      </c>
      <c r="AD57" s="17" t="s">
        <v>14</v>
      </c>
      <c r="AE57" s="12">
        <v>1</v>
      </c>
    </row>
    <row r="58" customHeight="1" spans="2:31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  <c r="AB58" s="39">
        <v>47</v>
      </c>
      <c r="AC58" s="58" t="s">
        <v>193</v>
      </c>
      <c r="AD58" s="17" t="s">
        <v>9</v>
      </c>
      <c r="AE58" s="12">
        <v>1</v>
      </c>
    </row>
    <row r="59" customHeight="1" spans="2:31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  <c r="AB59" s="39">
        <v>48</v>
      </c>
      <c r="AC59" s="58" t="s">
        <v>194</v>
      </c>
      <c r="AD59" s="17" t="s">
        <v>13</v>
      </c>
      <c r="AE59" s="12">
        <v>1</v>
      </c>
    </row>
    <row r="60" customHeight="1" spans="2:31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  <c r="AB60" s="39">
        <v>49</v>
      </c>
      <c r="AC60" s="58" t="s">
        <v>195</v>
      </c>
      <c r="AD60" s="17" t="s">
        <v>8</v>
      </c>
      <c r="AE60" s="12">
        <v>1</v>
      </c>
    </row>
    <row r="61" customHeight="1" spans="2:31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  <c r="AB61" s="39">
        <v>50</v>
      </c>
      <c r="AC61" s="58" t="s">
        <v>196</v>
      </c>
      <c r="AD61" s="17" t="s">
        <v>7</v>
      </c>
      <c r="AE61" s="12">
        <v>1</v>
      </c>
    </row>
    <row r="62" customHeight="1" spans="2:31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  <c r="AB62" s="39">
        <v>51</v>
      </c>
      <c r="AC62" s="58" t="s">
        <v>197</v>
      </c>
      <c r="AD62" s="17" t="s">
        <v>11</v>
      </c>
      <c r="AE62" s="12">
        <v>1</v>
      </c>
    </row>
    <row r="63" customHeight="1" spans="2:31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  <c r="AB63" s="39">
        <v>52</v>
      </c>
      <c r="AC63" s="58" t="s">
        <v>198</v>
      </c>
      <c r="AD63" s="17" t="s">
        <v>10</v>
      </c>
      <c r="AE63" s="12">
        <v>1</v>
      </c>
    </row>
    <row r="64" customHeight="1" spans="2:31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  <c r="AB64" s="39">
        <v>53</v>
      </c>
      <c r="AC64" s="58" t="s">
        <v>199</v>
      </c>
      <c r="AD64" s="17" t="s">
        <v>8</v>
      </c>
      <c r="AE64" s="12">
        <v>1</v>
      </c>
    </row>
    <row r="65" customHeight="1" spans="2:31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  <c r="AB65" s="39">
        <v>54</v>
      </c>
      <c r="AC65" s="58" t="s">
        <v>200</v>
      </c>
      <c r="AD65" s="17" t="s">
        <v>24</v>
      </c>
      <c r="AE65" s="12">
        <v>1</v>
      </c>
    </row>
    <row r="66" customHeight="1" spans="2:31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  <c r="AB66" s="39">
        <v>55</v>
      </c>
      <c r="AC66" s="58" t="s">
        <v>201</v>
      </c>
      <c r="AD66" s="17" t="s">
        <v>24</v>
      </c>
      <c r="AE66" s="12">
        <v>1</v>
      </c>
    </row>
    <row r="67" customHeight="1" spans="2:31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  <c r="AB67" s="39">
        <v>56</v>
      </c>
      <c r="AC67" s="58" t="s">
        <v>202</v>
      </c>
      <c r="AD67" s="17" t="s">
        <v>13</v>
      </c>
      <c r="AE67" s="12">
        <v>1</v>
      </c>
    </row>
    <row r="68" customHeight="1" spans="2:31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  <c r="AB68" s="39">
        <v>57</v>
      </c>
      <c r="AC68" s="58" t="s">
        <v>203</v>
      </c>
      <c r="AD68" s="17" t="s">
        <v>13</v>
      </c>
      <c r="AE68" s="12">
        <v>1</v>
      </c>
    </row>
    <row r="69" customHeight="1" spans="1:31">
      <c r="A69" s="30"/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  <c r="AB69" s="39">
        <v>58</v>
      </c>
      <c r="AC69" s="58" t="s">
        <v>204</v>
      </c>
      <c r="AD69" s="17" t="s">
        <v>13</v>
      </c>
      <c r="AE69" s="12">
        <v>1</v>
      </c>
    </row>
    <row r="70" customHeight="1" spans="2:31"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  <c r="AB70" s="39">
        <v>59</v>
      </c>
      <c r="AC70" s="58" t="s">
        <v>205</v>
      </c>
      <c r="AD70" s="17" t="s">
        <v>13</v>
      </c>
      <c r="AE70" s="12">
        <v>1</v>
      </c>
    </row>
    <row r="71" customHeight="1" spans="2:31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  <c r="AB71" s="39">
        <v>60</v>
      </c>
      <c r="AC71" s="58" t="s">
        <v>206</v>
      </c>
      <c r="AD71" s="17" t="s">
        <v>24</v>
      </c>
      <c r="AE71" s="12">
        <v>1</v>
      </c>
    </row>
    <row r="72" customHeight="1" spans="2:31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  <c r="AB72" s="39">
        <v>61</v>
      </c>
      <c r="AC72" s="58" t="s">
        <v>207</v>
      </c>
      <c r="AD72" s="17" t="s">
        <v>14</v>
      </c>
      <c r="AE72" s="12">
        <v>1</v>
      </c>
    </row>
    <row r="73" customHeight="1" spans="2:31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  <c r="AB73" s="39">
        <v>62</v>
      </c>
      <c r="AC73" s="58" t="s">
        <v>208</v>
      </c>
      <c r="AD73" s="17" t="s">
        <v>7</v>
      </c>
      <c r="AE73" s="12">
        <v>1</v>
      </c>
    </row>
    <row r="74" customHeight="1" spans="2:31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  <c r="AB74" s="39">
        <v>63</v>
      </c>
      <c r="AC74" s="58" t="s">
        <v>209</v>
      </c>
      <c r="AD74" s="17" t="s">
        <v>14</v>
      </c>
      <c r="AE74" s="12">
        <v>1</v>
      </c>
    </row>
    <row r="75" customHeight="1" spans="2:31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  <c r="AB75" s="39">
        <v>64</v>
      </c>
      <c r="AC75" s="58" t="s">
        <v>144</v>
      </c>
      <c r="AD75" s="17" t="s">
        <v>14</v>
      </c>
      <c r="AE75" s="12">
        <v>1</v>
      </c>
    </row>
    <row r="76" customHeight="1" spans="2:31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  <c r="AB76" s="39">
        <v>65</v>
      </c>
      <c r="AC76" s="58" t="s">
        <v>164</v>
      </c>
      <c r="AD76" s="17" t="s">
        <v>11</v>
      </c>
      <c r="AE76" s="12">
        <v>1</v>
      </c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1:13">
      <c r="A97" s="30"/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2:13"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13:13">
      <c r="M105" s="30"/>
    </row>
    <row r="106" customHeight="1" spans="13:13"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</sheetData>
  <sortState ref="W12:Y15">
    <sortCondition ref="Y12:Y15" descending="1"/>
  </sortState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2"/>
  <dimension ref="A4:AO111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220</v>
      </c>
      <c r="Q10" s="45"/>
      <c r="R10" s="45"/>
      <c r="S10" s="46"/>
      <c r="T10" s="44"/>
      <c r="U10" s="44"/>
      <c r="W10" s="47" t="s">
        <v>220</v>
      </c>
      <c r="X10" s="48"/>
      <c r="Y10" s="54"/>
      <c r="Z10" s="44"/>
      <c r="AA10" s="44"/>
      <c r="AC10" s="47" t="s">
        <v>220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5</v>
      </c>
      <c r="E11" s="12">
        <v>5</v>
      </c>
      <c r="F11" s="12">
        <v>0</v>
      </c>
      <c r="G11" s="13">
        <v>0</v>
      </c>
      <c r="H11" s="14">
        <v>33</v>
      </c>
      <c r="I11" s="14">
        <v>11</v>
      </c>
      <c r="J11" s="14">
        <v>22</v>
      </c>
      <c r="K11" s="37">
        <v>2.2</v>
      </c>
      <c r="L11" s="14">
        <v>15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SUBTOTAL(9,Tabla367891011121314155789101112[GOLES])</f>
        <v>135</v>
      </c>
      <c r="AI11" s="60">
        <f>H20</f>
        <v>135</v>
      </c>
    </row>
    <row r="12" customHeight="1" spans="2:31">
      <c r="B12" s="15">
        <v>2</v>
      </c>
      <c r="C12" s="11" t="s">
        <v>11</v>
      </c>
      <c r="D12" s="12">
        <v>4</v>
      </c>
      <c r="E12" s="12">
        <v>4</v>
      </c>
      <c r="F12" s="12">
        <v>0</v>
      </c>
      <c r="G12" s="13">
        <v>0</v>
      </c>
      <c r="H12" s="14">
        <v>19</v>
      </c>
      <c r="I12" s="14">
        <v>8</v>
      </c>
      <c r="J12" s="14">
        <v>11</v>
      </c>
      <c r="K12" s="14">
        <v>2</v>
      </c>
      <c r="L12" s="14">
        <v>12</v>
      </c>
      <c r="O12" s="39">
        <v>1</v>
      </c>
      <c r="P12" s="41" t="s">
        <v>24</v>
      </c>
      <c r="Q12" s="16">
        <v>3</v>
      </c>
      <c r="R12" s="50" t="s">
        <v>14</v>
      </c>
      <c r="S12" s="16">
        <v>2</v>
      </c>
      <c r="T12" s="44"/>
      <c r="U12" s="44"/>
      <c r="V12" s="39">
        <v>1</v>
      </c>
      <c r="W12" s="41" t="s">
        <v>221</v>
      </c>
      <c r="X12" s="51"/>
      <c r="Y12" s="16"/>
      <c r="Z12" s="44"/>
      <c r="AA12" s="44"/>
      <c r="AB12" s="39">
        <v>1</v>
      </c>
      <c r="AC12" s="57" t="s">
        <v>143</v>
      </c>
      <c r="AD12" s="51" t="s">
        <v>8</v>
      </c>
      <c r="AE12" s="20">
        <v>9</v>
      </c>
    </row>
    <row r="13" customHeight="1" spans="2:31">
      <c r="B13" s="15">
        <v>3</v>
      </c>
      <c r="C13" s="11" t="s">
        <v>7</v>
      </c>
      <c r="D13" s="12">
        <v>5</v>
      </c>
      <c r="E13" s="12">
        <v>3</v>
      </c>
      <c r="F13" s="12">
        <v>1</v>
      </c>
      <c r="G13" s="13">
        <v>1</v>
      </c>
      <c r="H13" s="16">
        <v>15</v>
      </c>
      <c r="I13" s="14">
        <v>9</v>
      </c>
      <c r="J13" s="14">
        <v>6</v>
      </c>
      <c r="K13" s="14">
        <v>1.8</v>
      </c>
      <c r="L13" s="14">
        <v>10</v>
      </c>
      <c r="O13" s="39">
        <v>2</v>
      </c>
      <c r="P13" s="41" t="s">
        <v>20</v>
      </c>
      <c r="Q13" s="16">
        <v>1</v>
      </c>
      <c r="R13" s="41" t="s">
        <v>7</v>
      </c>
      <c r="S13" s="16">
        <v>1</v>
      </c>
      <c r="T13" s="44"/>
      <c r="U13" s="44"/>
      <c r="Z13" s="44"/>
      <c r="AA13" s="44"/>
      <c r="AB13" s="39">
        <v>2</v>
      </c>
      <c r="AC13" s="58" t="s">
        <v>147</v>
      </c>
      <c r="AD13" s="17" t="s">
        <v>9</v>
      </c>
      <c r="AE13" s="12">
        <v>8</v>
      </c>
    </row>
    <row r="14" customHeight="1" spans="2:31">
      <c r="B14" s="10">
        <v>4</v>
      </c>
      <c r="C14" s="11" t="s">
        <v>8</v>
      </c>
      <c r="D14" s="12">
        <v>5</v>
      </c>
      <c r="E14" s="12">
        <v>2</v>
      </c>
      <c r="F14" s="12">
        <v>1</v>
      </c>
      <c r="G14" s="13">
        <v>2</v>
      </c>
      <c r="H14" s="14">
        <v>20</v>
      </c>
      <c r="I14" s="14">
        <v>16</v>
      </c>
      <c r="J14" s="14">
        <v>4</v>
      </c>
      <c r="K14" s="14">
        <v>3.2</v>
      </c>
      <c r="L14" s="14">
        <v>7</v>
      </c>
      <c r="T14" s="44"/>
      <c r="U14" s="44"/>
      <c r="Z14" s="44"/>
      <c r="AA14" s="44"/>
      <c r="AB14" s="39">
        <v>3</v>
      </c>
      <c r="AC14" s="58" t="s">
        <v>145</v>
      </c>
      <c r="AD14" s="17" t="s">
        <v>9</v>
      </c>
      <c r="AE14" s="12">
        <v>7</v>
      </c>
    </row>
    <row r="15" customHeight="1" spans="2:31">
      <c r="B15" s="10">
        <v>5</v>
      </c>
      <c r="C15" s="17" t="s">
        <v>23</v>
      </c>
      <c r="D15" s="12">
        <v>5</v>
      </c>
      <c r="E15" s="12">
        <v>2</v>
      </c>
      <c r="F15" s="12">
        <v>0</v>
      </c>
      <c r="G15" s="13">
        <v>3</v>
      </c>
      <c r="H15" s="14">
        <v>15</v>
      </c>
      <c r="I15" s="14">
        <v>18</v>
      </c>
      <c r="J15" s="14">
        <v>-3</v>
      </c>
      <c r="K15" s="14">
        <v>3.6</v>
      </c>
      <c r="L15" s="14">
        <v>6</v>
      </c>
      <c r="T15" s="44"/>
      <c r="U15" s="44"/>
      <c r="Z15" s="44"/>
      <c r="AA15" s="44"/>
      <c r="AB15" s="39">
        <v>4</v>
      </c>
      <c r="AC15" s="58" t="s">
        <v>219</v>
      </c>
      <c r="AD15" s="17" t="s">
        <v>11</v>
      </c>
      <c r="AE15" s="12">
        <v>6</v>
      </c>
    </row>
    <row r="16" customHeight="1" spans="2:31">
      <c r="B16" s="18">
        <v>6</v>
      </c>
      <c r="C16" s="19" t="s">
        <v>20</v>
      </c>
      <c r="D16" s="20">
        <v>6</v>
      </c>
      <c r="E16" s="20">
        <v>1</v>
      </c>
      <c r="F16" s="20">
        <v>2</v>
      </c>
      <c r="G16" s="16">
        <v>3</v>
      </c>
      <c r="H16" s="21">
        <v>11</v>
      </c>
      <c r="I16" s="21">
        <v>17</v>
      </c>
      <c r="J16" s="21">
        <v>-6</v>
      </c>
      <c r="K16" s="21">
        <v>2.83333333333333</v>
      </c>
      <c r="L16" s="21">
        <v>5</v>
      </c>
      <c r="T16" s="44"/>
      <c r="U16" s="44"/>
      <c r="Z16" s="44"/>
      <c r="AA16" s="44"/>
      <c r="AB16" s="39">
        <v>5</v>
      </c>
      <c r="AC16" s="58" t="s">
        <v>151</v>
      </c>
      <c r="AD16" s="17" t="s">
        <v>6</v>
      </c>
      <c r="AE16" s="12">
        <v>6</v>
      </c>
    </row>
    <row r="17" customHeight="1" spans="2:31">
      <c r="B17" s="22">
        <v>7</v>
      </c>
      <c r="C17" s="23" t="s">
        <v>13</v>
      </c>
      <c r="D17" s="24">
        <v>4</v>
      </c>
      <c r="E17" s="24">
        <v>1</v>
      </c>
      <c r="F17" s="24">
        <v>0</v>
      </c>
      <c r="G17" s="25">
        <v>3</v>
      </c>
      <c r="H17" s="26">
        <v>8</v>
      </c>
      <c r="I17" s="26">
        <v>15</v>
      </c>
      <c r="J17" s="26">
        <v>-7</v>
      </c>
      <c r="K17" s="26">
        <v>3.75</v>
      </c>
      <c r="L17" s="26">
        <v>3</v>
      </c>
      <c r="T17" s="44"/>
      <c r="U17" s="44"/>
      <c r="Z17" s="44"/>
      <c r="AA17" s="44"/>
      <c r="AB17" s="39">
        <v>6</v>
      </c>
      <c r="AC17" s="58" t="s">
        <v>152</v>
      </c>
      <c r="AD17" s="17" t="s">
        <v>8</v>
      </c>
      <c r="AE17" s="12">
        <v>5</v>
      </c>
    </row>
    <row r="18" customHeight="1" spans="2:31">
      <c r="B18" s="22">
        <v>8</v>
      </c>
      <c r="C18" s="23" t="s">
        <v>24</v>
      </c>
      <c r="D18" s="24">
        <v>4</v>
      </c>
      <c r="E18" s="24">
        <v>1</v>
      </c>
      <c r="F18" s="24">
        <v>0</v>
      </c>
      <c r="G18" s="25">
        <v>3</v>
      </c>
      <c r="H18" s="26">
        <v>7</v>
      </c>
      <c r="I18" s="26">
        <v>22</v>
      </c>
      <c r="J18" s="26">
        <v>-15</v>
      </c>
      <c r="K18" s="26">
        <v>5.5</v>
      </c>
      <c r="L18" s="26">
        <v>3</v>
      </c>
      <c r="T18" s="44"/>
      <c r="U18" s="44"/>
      <c r="Z18" s="44"/>
      <c r="AA18" s="44"/>
      <c r="AB18" s="39">
        <v>7</v>
      </c>
      <c r="AC18" s="58" t="s">
        <v>154</v>
      </c>
      <c r="AD18" s="17" t="s">
        <v>9</v>
      </c>
      <c r="AE18" s="12">
        <v>5</v>
      </c>
    </row>
    <row r="19" customHeight="1" spans="2:31">
      <c r="B19" s="16">
        <v>9</v>
      </c>
      <c r="C19" s="23" t="s">
        <v>14</v>
      </c>
      <c r="D19" s="24">
        <v>4</v>
      </c>
      <c r="E19" s="24">
        <v>0</v>
      </c>
      <c r="F19" s="24">
        <v>0</v>
      </c>
      <c r="G19" s="25">
        <v>4</v>
      </c>
      <c r="H19" s="26">
        <v>7</v>
      </c>
      <c r="I19" s="26">
        <v>19</v>
      </c>
      <c r="J19" s="26">
        <v>-12</v>
      </c>
      <c r="K19" s="26">
        <v>4.75</v>
      </c>
      <c r="L19" s="26">
        <v>0</v>
      </c>
      <c r="T19" s="44"/>
      <c r="U19" s="44"/>
      <c r="AB19" s="39">
        <v>8</v>
      </c>
      <c r="AC19" s="58" t="s">
        <v>146</v>
      </c>
      <c r="AD19" s="17" t="s">
        <v>10</v>
      </c>
      <c r="AE19" s="12">
        <v>4</v>
      </c>
    </row>
    <row r="20" customHeight="1" spans="4:31">
      <c r="D20" s="1">
        <f>SUM(D11:D19)/2</f>
        <v>21</v>
      </c>
      <c r="E20" s="1">
        <f>SUM(E11:E19)</f>
        <v>19</v>
      </c>
      <c r="F20" s="1">
        <f>SUM(F11:F19)/2</f>
        <v>2</v>
      </c>
      <c r="G20" s="1">
        <f>SUM(G11:G19)</f>
        <v>19</v>
      </c>
      <c r="H20" s="1">
        <f>SUM(H11:H19)</f>
        <v>135</v>
      </c>
      <c r="I20" s="1">
        <f>SUM(I11:I19)</f>
        <v>135</v>
      </c>
      <c r="T20" s="44"/>
      <c r="U20" s="44"/>
      <c r="AB20" s="39">
        <v>9</v>
      </c>
      <c r="AC20" s="58" t="s">
        <v>156</v>
      </c>
      <c r="AD20" s="17" t="s">
        <v>11</v>
      </c>
      <c r="AE20" s="12">
        <v>4</v>
      </c>
    </row>
    <row r="21" customHeight="1" spans="2:31">
      <c r="B21" s="29"/>
      <c r="C21" s="1" t="s">
        <v>153</v>
      </c>
      <c r="T21" s="44"/>
      <c r="U21" s="44"/>
      <c r="AB21" s="39">
        <v>10</v>
      </c>
      <c r="AC21" s="58" t="s">
        <v>148</v>
      </c>
      <c r="AD21" s="17" t="s">
        <v>10</v>
      </c>
      <c r="AE21" s="12">
        <v>4</v>
      </c>
    </row>
    <row r="22" customHeight="1" spans="20:31">
      <c r="T22" s="44"/>
      <c r="U22" s="44"/>
      <c r="AB22" s="39">
        <v>11</v>
      </c>
      <c r="AC22" s="58" t="s">
        <v>157</v>
      </c>
      <c r="AD22" s="17" t="s">
        <v>11</v>
      </c>
      <c r="AE22" s="12">
        <v>4</v>
      </c>
    </row>
    <row r="23" customHeight="1" spans="2:31">
      <c r="B23" s="30"/>
      <c r="C23" s="30"/>
      <c r="D23" s="30"/>
      <c r="E23" s="30"/>
      <c r="F23" s="30"/>
      <c r="G23" s="30"/>
      <c r="H23" s="30"/>
      <c r="I23" s="30"/>
      <c r="J23" s="42"/>
      <c r="K23" s="42"/>
      <c r="L23" s="30"/>
      <c r="T23" s="44"/>
      <c r="U23" s="44"/>
      <c r="AB23" s="39">
        <v>12</v>
      </c>
      <c r="AC23" s="58" t="s">
        <v>158</v>
      </c>
      <c r="AD23" s="17" t="s">
        <v>7</v>
      </c>
      <c r="AE23" s="12">
        <v>4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T24" s="44"/>
      <c r="U24" s="44"/>
      <c r="AB24" s="39">
        <v>13</v>
      </c>
      <c r="AC24" s="58" t="s">
        <v>159</v>
      </c>
      <c r="AD24" s="17" t="s">
        <v>6</v>
      </c>
      <c r="AE24" s="12">
        <v>4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14</v>
      </c>
      <c r="AC25" s="58" t="s">
        <v>155</v>
      </c>
      <c r="AD25" s="17" t="s">
        <v>9</v>
      </c>
      <c r="AE25" s="12">
        <v>3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160</v>
      </c>
      <c r="AD26" s="51" t="s">
        <v>14</v>
      </c>
      <c r="AE26" s="20">
        <v>3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161</v>
      </c>
      <c r="AD27" s="17" t="s">
        <v>24</v>
      </c>
      <c r="AE27" s="12">
        <v>3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166</v>
      </c>
      <c r="AD28" s="17" t="s">
        <v>7</v>
      </c>
      <c r="AE28" s="12">
        <v>2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167</v>
      </c>
      <c r="AD29" s="17" t="s">
        <v>9</v>
      </c>
      <c r="AE29" s="12">
        <v>2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7" t="s">
        <v>168</v>
      </c>
      <c r="AD30" s="51" t="s">
        <v>8</v>
      </c>
      <c r="AE30" s="20">
        <v>2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169</v>
      </c>
      <c r="AD31" s="17" t="s">
        <v>7</v>
      </c>
      <c r="AE31" s="12">
        <v>2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170</v>
      </c>
      <c r="AD32" s="17" t="s">
        <v>11</v>
      </c>
      <c r="AE32" s="12">
        <v>2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41" t="s">
        <v>171</v>
      </c>
      <c r="AD33" s="19" t="s">
        <v>9</v>
      </c>
      <c r="AE33" s="16">
        <v>2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172</v>
      </c>
      <c r="AD34" s="17" t="s">
        <v>9</v>
      </c>
      <c r="AE34" s="12">
        <v>2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173</v>
      </c>
      <c r="AD35" s="17" t="s">
        <v>14</v>
      </c>
      <c r="AE35" s="12">
        <v>2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162</v>
      </c>
      <c r="AD36" s="17" t="s">
        <v>10</v>
      </c>
      <c r="AE36" s="12">
        <v>2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41" t="s">
        <v>174</v>
      </c>
      <c r="AD37" s="19" t="s">
        <v>10</v>
      </c>
      <c r="AE37" s="16">
        <v>2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41" t="s">
        <v>149</v>
      </c>
      <c r="AD38" s="19" t="s">
        <v>9</v>
      </c>
      <c r="AE38" s="16">
        <v>2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178</v>
      </c>
      <c r="AD39" s="17" t="s">
        <v>11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179</v>
      </c>
      <c r="AD40" s="17" t="s">
        <v>11</v>
      </c>
      <c r="AE40" s="12">
        <v>1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180</v>
      </c>
      <c r="AD41" s="17" t="s">
        <v>10</v>
      </c>
      <c r="AE41" s="12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176</v>
      </c>
      <c r="AD42" s="17" t="s">
        <v>9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181</v>
      </c>
      <c r="AD43" s="17" t="s">
        <v>7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182</v>
      </c>
      <c r="AD44" s="17" t="s">
        <v>7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183</v>
      </c>
      <c r="AD45" s="17" t="s">
        <v>6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185</v>
      </c>
      <c r="AD46" s="17" t="s">
        <v>13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41" t="s">
        <v>186</v>
      </c>
      <c r="AD47" s="19" t="s">
        <v>13</v>
      </c>
      <c r="AE47" s="16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58" t="s">
        <v>187</v>
      </c>
      <c r="AD48" s="17" t="s">
        <v>13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58" t="s">
        <v>188</v>
      </c>
      <c r="AD49" s="17" t="s">
        <v>8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58" t="s">
        <v>177</v>
      </c>
      <c r="AD50" s="17" t="s">
        <v>8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58" t="s">
        <v>189</v>
      </c>
      <c r="AD51" s="17" t="s">
        <v>7</v>
      </c>
      <c r="AE51" s="12">
        <v>1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C52" s="58" t="s">
        <v>190</v>
      </c>
      <c r="AD52" s="17" t="s">
        <v>7</v>
      </c>
      <c r="AE52" s="12">
        <v>1</v>
      </c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C53" s="61">
        <v>27</v>
      </c>
      <c r="AD53" s="17" t="s">
        <v>7</v>
      </c>
      <c r="AE53" s="12">
        <v>1</v>
      </c>
      <c r="AO53" s="1" t="s">
        <v>184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C54" s="61" t="s">
        <v>191</v>
      </c>
      <c r="AD54" s="17" t="s">
        <v>24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C55" s="58" t="s">
        <v>192</v>
      </c>
      <c r="AD55" s="17" t="s">
        <v>14</v>
      </c>
      <c r="AE55" s="12">
        <v>1</v>
      </c>
    </row>
    <row r="56" customHeight="1" spans="2:31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  <c r="AC56" s="58" t="s">
        <v>193</v>
      </c>
      <c r="AD56" s="17" t="s">
        <v>9</v>
      </c>
      <c r="AE56" s="12">
        <v>1</v>
      </c>
    </row>
    <row r="57" customHeight="1" spans="2:31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  <c r="AC57" s="58" t="s">
        <v>194</v>
      </c>
      <c r="AD57" s="17" t="s">
        <v>13</v>
      </c>
      <c r="AE57" s="12">
        <v>1</v>
      </c>
    </row>
    <row r="58" customHeight="1" spans="2:31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  <c r="AC58" s="58" t="s">
        <v>195</v>
      </c>
      <c r="AD58" s="17" t="s">
        <v>8</v>
      </c>
      <c r="AE58" s="12">
        <v>1</v>
      </c>
    </row>
    <row r="59" customHeight="1" spans="2:31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  <c r="AC59" s="58" t="s">
        <v>196</v>
      </c>
      <c r="AD59" s="17" t="s">
        <v>7</v>
      </c>
      <c r="AE59" s="12">
        <v>1</v>
      </c>
    </row>
    <row r="60" customHeight="1" spans="2:31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  <c r="AC60" s="58" t="s">
        <v>197</v>
      </c>
      <c r="AD60" s="17" t="s">
        <v>11</v>
      </c>
      <c r="AE60" s="12">
        <v>1</v>
      </c>
    </row>
    <row r="61" customHeight="1" spans="2:31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  <c r="AC61" s="58" t="s">
        <v>198</v>
      </c>
      <c r="AD61" s="17" t="s">
        <v>10</v>
      </c>
      <c r="AE61" s="12">
        <v>1</v>
      </c>
    </row>
    <row r="62" customHeight="1" spans="2:31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  <c r="AC62" s="58" t="s">
        <v>199</v>
      </c>
      <c r="AD62" s="17" t="s">
        <v>8</v>
      </c>
      <c r="AE62" s="12">
        <v>1</v>
      </c>
    </row>
    <row r="63" customHeight="1" spans="2:31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  <c r="AC63" s="58" t="s">
        <v>175</v>
      </c>
      <c r="AD63" s="17" t="s">
        <v>10</v>
      </c>
      <c r="AE63" s="12">
        <v>1</v>
      </c>
    </row>
    <row r="64" customHeight="1" spans="2:31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  <c r="AC64" s="58" t="s">
        <v>200</v>
      </c>
      <c r="AD64" s="17" t="s">
        <v>24</v>
      </c>
      <c r="AE64" s="12">
        <v>1</v>
      </c>
    </row>
    <row r="65" customHeight="1" spans="2:31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  <c r="AC65" s="58" t="s">
        <v>201</v>
      </c>
      <c r="AD65" s="17" t="s">
        <v>24</v>
      </c>
      <c r="AE65" s="12">
        <v>1</v>
      </c>
    </row>
    <row r="66" customHeight="1" spans="2:31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  <c r="AC66" s="58" t="s">
        <v>202</v>
      </c>
      <c r="AD66" s="17" t="s">
        <v>13</v>
      </c>
      <c r="AE66" s="12">
        <v>1</v>
      </c>
    </row>
    <row r="67" customHeight="1" spans="2:31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  <c r="AC67" s="58" t="s">
        <v>203</v>
      </c>
      <c r="AD67" s="17" t="s">
        <v>13</v>
      </c>
      <c r="AE67" s="12">
        <v>1</v>
      </c>
    </row>
    <row r="68" customHeight="1" spans="2:31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  <c r="AC68" s="58" t="s">
        <v>204</v>
      </c>
      <c r="AD68" s="17" t="s">
        <v>13</v>
      </c>
      <c r="AE68" s="12">
        <v>1</v>
      </c>
    </row>
    <row r="69" customHeight="1" spans="1:31">
      <c r="A69" s="30"/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  <c r="AC69" s="58" t="s">
        <v>205</v>
      </c>
      <c r="AD69" s="17" t="s">
        <v>13</v>
      </c>
      <c r="AE69" s="12">
        <v>1</v>
      </c>
    </row>
    <row r="70" customHeight="1" spans="2:31"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  <c r="AC70" s="58" t="s">
        <v>206</v>
      </c>
      <c r="AD70" s="17" t="s">
        <v>24</v>
      </c>
      <c r="AE70" s="12">
        <v>1</v>
      </c>
    </row>
    <row r="71" customHeight="1" spans="2:31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  <c r="AC71" s="58" t="s">
        <v>207</v>
      </c>
      <c r="AD71" s="17" t="s">
        <v>14</v>
      </c>
      <c r="AE71" s="12">
        <v>1</v>
      </c>
    </row>
    <row r="72" customHeight="1" spans="2:31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  <c r="AC72" s="58" t="s">
        <v>208</v>
      </c>
      <c r="AD72" s="17" t="s">
        <v>7</v>
      </c>
      <c r="AE72" s="12">
        <v>1</v>
      </c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1:13">
      <c r="A97" s="30"/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2:13"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13:13">
      <c r="M105" s="30"/>
    </row>
    <row r="106" customHeight="1" spans="13:13"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1"/>
  <dimension ref="A4:AO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222</v>
      </c>
      <c r="Q10" s="45"/>
      <c r="R10" s="45"/>
      <c r="S10" s="46"/>
      <c r="T10" s="44"/>
      <c r="U10" s="44"/>
      <c r="W10" s="47" t="s">
        <v>222</v>
      </c>
      <c r="X10" s="48"/>
      <c r="Y10" s="54"/>
      <c r="Z10" s="44"/>
      <c r="AA10" s="44"/>
      <c r="AC10" s="47" t="s">
        <v>222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5</v>
      </c>
      <c r="E11" s="12">
        <v>5</v>
      </c>
      <c r="F11" s="12">
        <v>0</v>
      </c>
      <c r="G11" s="13">
        <v>0</v>
      </c>
      <c r="H11" s="14">
        <v>33</v>
      </c>
      <c r="I11" s="14">
        <v>11</v>
      </c>
      <c r="J11" s="14">
        <v>22</v>
      </c>
      <c r="K11" s="37">
        <v>2.2</v>
      </c>
      <c r="L11" s="14">
        <v>15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SUBTOTAL(9,Tabla3678910111213141557891011[GOLES])</f>
        <v>128</v>
      </c>
      <c r="AI11" s="60">
        <f>H20</f>
        <v>128</v>
      </c>
    </row>
    <row r="12" customHeight="1" spans="2:31">
      <c r="B12" s="15">
        <v>2</v>
      </c>
      <c r="C12" s="11" t="s">
        <v>11</v>
      </c>
      <c r="D12" s="12">
        <v>4</v>
      </c>
      <c r="E12" s="12">
        <v>4</v>
      </c>
      <c r="F12" s="12">
        <v>0</v>
      </c>
      <c r="G12" s="13">
        <v>0</v>
      </c>
      <c r="H12" s="14">
        <v>19</v>
      </c>
      <c r="I12" s="14">
        <v>8</v>
      </c>
      <c r="J12" s="14">
        <v>11</v>
      </c>
      <c r="K12" s="14">
        <v>2</v>
      </c>
      <c r="L12" s="14">
        <v>12</v>
      </c>
      <c r="O12" s="39">
        <v>1</v>
      </c>
      <c r="P12" s="41" t="s">
        <v>9</v>
      </c>
      <c r="Q12" s="16">
        <v>8</v>
      </c>
      <c r="R12" s="50" t="s">
        <v>10</v>
      </c>
      <c r="S12" s="16">
        <v>3</v>
      </c>
      <c r="T12" s="44"/>
      <c r="U12" s="44"/>
      <c r="V12" s="39">
        <v>1</v>
      </c>
      <c r="W12" s="41" t="s">
        <v>154</v>
      </c>
      <c r="X12" s="51" t="s">
        <v>9</v>
      </c>
      <c r="Y12" s="16">
        <v>1</v>
      </c>
      <c r="Z12" s="44"/>
      <c r="AA12" s="44"/>
      <c r="AB12" s="39">
        <v>1</v>
      </c>
      <c r="AC12" s="57" t="s">
        <v>143</v>
      </c>
      <c r="AD12" s="51" t="s">
        <v>8</v>
      </c>
      <c r="AE12" s="20">
        <v>9</v>
      </c>
    </row>
    <row r="13" customHeight="1" spans="2:31">
      <c r="B13" s="15">
        <v>3</v>
      </c>
      <c r="C13" s="11" t="s">
        <v>7</v>
      </c>
      <c r="D13" s="12">
        <v>4</v>
      </c>
      <c r="E13" s="12">
        <v>3</v>
      </c>
      <c r="F13" s="12">
        <v>0</v>
      </c>
      <c r="G13" s="13">
        <v>1</v>
      </c>
      <c r="H13" s="16">
        <v>14</v>
      </c>
      <c r="I13" s="14">
        <v>8</v>
      </c>
      <c r="J13" s="14">
        <v>6</v>
      </c>
      <c r="K13" s="14">
        <v>2</v>
      </c>
      <c r="L13" s="14">
        <v>9</v>
      </c>
      <c r="O13" s="39">
        <v>2</v>
      </c>
      <c r="P13" s="41" t="s">
        <v>13</v>
      </c>
      <c r="Q13" s="16">
        <v>4</v>
      </c>
      <c r="R13" s="41" t="s">
        <v>24</v>
      </c>
      <c r="S13" s="13">
        <v>2</v>
      </c>
      <c r="T13" s="44"/>
      <c r="U13" s="44"/>
      <c r="Z13" s="44"/>
      <c r="AA13" s="44"/>
      <c r="AB13" s="39">
        <v>2</v>
      </c>
      <c r="AC13" s="58" t="s">
        <v>147</v>
      </c>
      <c r="AD13" s="17" t="s">
        <v>9</v>
      </c>
      <c r="AE13" s="12">
        <v>8</v>
      </c>
    </row>
    <row r="14" customHeight="1" spans="2:31">
      <c r="B14" s="10">
        <v>4</v>
      </c>
      <c r="C14" s="11" t="s">
        <v>8</v>
      </c>
      <c r="D14" s="12">
        <v>5</v>
      </c>
      <c r="E14" s="12">
        <v>2</v>
      </c>
      <c r="F14" s="12">
        <v>1</v>
      </c>
      <c r="G14" s="13">
        <v>2</v>
      </c>
      <c r="H14" s="14">
        <v>20</v>
      </c>
      <c r="I14" s="14">
        <v>16</v>
      </c>
      <c r="J14" s="14">
        <v>4</v>
      </c>
      <c r="K14" s="14">
        <v>3.2</v>
      </c>
      <c r="L14" s="14">
        <v>7</v>
      </c>
      <c r="O14" s="39">
        <v>3</v>
      </c>
      <c r="P14" s="41" t="s">
        <v>20</v>
      </c>
      <c r="Q14" s="16">
        <v>2</v>
      </c>
      <c r="R14" s="41" t="s">
        <v>8</v>
      </c>
      <c r="S14" s="16">
        <v>2</v>
      </c>
      <c r="T14" s="44"/>
      <c r="U14" s="44"/>
      <c r="Z14" s="44"/>
      <c r="AA14" s="44"/>
      <c r="AB14" s="39">
        <v>3</v>
      </c>
      <c r="AC14" s="58" t="s">
        <v>145</v>
      </c>
      <c r="AD14" s="17" t="s">
        <v>9</v>
      </c>
      <c r="AE14" s="12">
        <v>7</v>
      </c>
    </row>
    <row r="15" customHeight="1" spans="2:31">
      <c r="B15" s="10">
        <v>5</v>
      </c>
      <c r="C15" s="17" t="s">
        <v>23</v>
      </c>
      <c r="D15" s="12">
        <v>5</v>
      </c>
      <c r="E15" s="12">
        <v>2</v>
      </c>
      <c r="F15" s="12">
        <v>0</v>
      </c>
      <c r="G15" s="13">
        <v>3</v>
      </c>
      <c r="H15" s="14">
        <v>15</v>
      </c>
      <c r="I15" s="14">
        <v>18</v>
      </c>
      <c r="J15" s="14">
        <v>-3</v>
      </c>
      <c r="K15" s="14">
        <v>3.6</v>
      </c>
      <c r="L15" s="14">
        <v>6</v>
      </c>
      <c r="T15" s="44"/>
      <c r="U15" s="44"/>
      <c r="Z15" s="44"/>
      <c r="AA15" s="44"/>
      <c r="AB15" s="39">
        <v>4</v>
      </c>
      <c r="AC15" s="58" t="s">
        <v>219</v>
      </c>
      <c r="AD15" s="17" t="s">
        <v>11</v>
      </c>
      <c r="AE15" s="12">
        <v>6</v>
      </c>
    </row>
    <row r="16" customHeight="1" spans="2:31">
      <c r="B16" s="18">
        <v>6</v>
      </c>
      <c r="C16" s="19" t="s">
        <v>20</v>
      </c>
      <c r="D16" s="20">
        <v>5</v>
      </c>
      <c r="E16" s="20">
        <v>1</v>
      </c>
      <c r="F16" s="20">
        <v>1</v>
      </c>
      <c r="G16" s="16">
        <v>3</v>
      </c>
      <c r="H16" s="21">
        <v>10</v>
      </c>
      <c r="I16" s="21">
        <v>16</v>
      </c>
      <c r="J16" s="21">
        <v>-6</v>
      </c>
      <c r="K16" s="21">
        <v>3.2</v>
      </c>
      <c r="L16" s="21">
        <v>4</v>
      </c>
      <c r="T16" s="44"/>
      <c r="U16" s="44"/>
      <c r="Z16" s="44"/>
      <c r="AA16" s="44"/>
      <c r="AB16" s="39">
        <v>5</v>
      </c>
      <c r="AC16" s="58" t="s">
        <v>152</v>
      </c>
      <c r="AD16" s="17" t="s">
        <v>8</v>
      </c>
      <c r="AE16" s="12">
        <v>5</v>
      </c>
    </row>
    <row r="17" customHeight="1" spans="2:31">
      <c r="B17" s="22">
        <v>7</v>
      </c>
      <c r="C17" s="23" t="s">
        <v>13</v>
      </c>
      <c r="D17" s="24">
        <v>4</v>
      </c>
      <c r="E17" s="24">
        <v>1</v>
      </c>
      <c r="F17" s="24">
        <v>0</v>
      </c>
      <c r="G17" s="25">
        <v>3</v>
      </c>
      <c r="H17" s="26">
        <v>8</v>
      </c>
      <c r="I17" s="26">
        <v>15</v>
      </c>
      <c r="J17" s="26">
        <v>-7</v>
      </c>
      <c r="K17" s="26">
        <v>3.75</v>
      </c>
      <c r="L17" s="26">
        <v>3</v>
      </c>
      <c r="T17" s="44"/>
      <c r="U17" s="44"/>
      <c r="Z17" s="44"/>
      <c r="AA17" s="44"/>
      <c r="AB17" s="39">
        <v>6</v>
      </c>
      <c r="AC17" s="58" t="s">
        <v>154</v>
      </c>
      <c r="AD17" s="17" t="s">
        <v>9</v>
      </c>
      <c r="AE17" s="12">
        <v>5</v>
      </c>
    </row>
    <row r="18" customHeight="1" spans="2:31">
      <c r="B18" s="22">
        <v>8</v>
      </c>
      <c r="C18" s="23" t="s">
        <v>14</v>
      </c>
      <c r="D18" s="24">
        <v>3</v>
      </c>
      <c r="E18" s="24">
        <v>0</v>
      </c>
      <c r="F18" s="24">
        <v>0</v>
      </c>
      <c r="G18" s="25">
        <v>3</v>
      </c>
      <c r="H18" s="26">
        <v>5</v>
      </c>
      <c r="I18" s="26">
        <v>16</v>
      </c>
      <c r="J18" s="26">
        <v>-11</v>
      </c>
      <c r="K18" s="26">
        <v>5.33333333333333</v>
      </c>
      <c r="L18" s="26">
        <v>0</v>
      </c>
      <c r="T18" s="44"/>
      <c r="U18" s="44"/>
      <c r="Z18" s="44"/>
      <c r="AA18" s="44"/>
      <c r="AB18" s="39">
        <v>7</v>
      </c>
      <c r="AC18" s="58" t="s">
        <v>151</v>
      </c>
      <c r="AD18" s="17" t="s">
        <v>6</v>
      </c>
      <c r="AE18" s="12">
        <v>5</v>
      </c>
    </row>
    <row r="19" customHeight="1" spans="2:31">
      <c r="B19" s="16">
        <v>9</v>
      </c>
      <c r="C19" s="23" t="s">
        <v>24</v>
      </c>
      <c r="D19" s="24">
        <v>3</v>
      </c>
      <c r="E19" s="24">
        <v>0</v>
      </c>
      <c r="F19" s="24">
        <v>0</v>
      </c>
      <c r="G19" s="25">
        <v>3</v>
      </c>
      <c r="H19" s="26">
        <v>4</v>
      </c>
      <c r="I19" s="26">
        <v>20</v>
      </c>
      <c r="J19" s="26">
        <v>-16</v>
      </c>
      <c r="K19" s="26">
        <v>6.66666666666667</v>
      </c>
      <c r="L19" s="26">
        <v>0</v>
      </c>
      <c r="T19" s="44"/>
      <c r="U19" s="44"/>
      <c r="AB19" s="39">
        <v>8</v>
      </c>
      <c r="AC19" s="58" t="s">
        <v>146</v>
      </c>
      <c r="AD19" s="17" t="s">
        <v>10</v>
      </c>
      <c r="AE19" s="12">
        <v>4</v>
      </c>
    </row>
    <row r="20" customHeight="1" spans="4:31">
      <c r="D20" s="1">
        <f>SUM(D11:D19)/2</f>
        <v>19</v>
      </c>
      <c r="E20" s="1">
        <f>SUM(E11:E19)</f>
        <v>18</v>
      </c>
      <c r="F20" s="1">
        <f>SUM(F11:F19)/2</f>
        <v>1</v>
      </c>
      <c r="G20" s="1">
        <f>SUM(G11:G19)</f>
        <v>18</v>
      </c>
      <c r="H20" s="1">
        <f>SUM(H11:H19)</f>
        <v>128</v>
      </c>
      <c r="I20" s="1">
        <f>SUM(I11:I19)</f>
        <v>128</v>
      </c>
      <c r="T20" s="44"/>
      <c r="U20" s="44"/>
      <c r="AB20" s="39">
        <v>9</v>
      </c>
      <c r="AC20" s="58" t="s">
        <v>156</v>
      </c>
      <c r="AD20" s="17" t="s">
        <v>11</v>
      </c>
      <c r="AE20" s="12">
        <v>4</v>
      </c>
    </row>
    <row r="21" customHeight="1" spans="2:31">
      <c r="B21" s="29"/>
      <c r="C21" s="1" t="s">
        <v>153</v>
      </c>
      <c r="T21" s="44"/>
      <c r="U21" s="44"/>
      <c r="AB21" s="39">
        <v>10</v>
      </c>
      <c r="AC21" s="58" t="s">
        <v>148</v>
      </c>
      <c r="AD21" s="17" t="s">
        <v>10</v>
      </c>
      <c r="AE21" s="12">
        <v>4</v>
      </c>
    </row>
    <row r="22" customHeight="1" spans="20:31">
      <c r="T22" s="44"/>
      <c r="U22" s="44"/>
      <c r="AB22" s="39">
        <v>11</v>
      </c>
      <c r="AC22" s="58" t="s">
        <v>157</v>
      </c>
      <c r="AD22" s="17" t="s">
        <v>11</v>
      </c>
      <c r="AE22" s="12">
        <v>4</v>
      </c>
    </row>
    <row r="23" customHeight="1" spans="2:31">
      <c r="B23" s="30"/>
      <c r="C23" s="30"/>
      <c r="D23" s="30"/>
      <c r="E23" s="30"/>
      <c r="F23" s="30"/>
      <c r="G23" s="30"/>
      <c r="H23" s="30"/>
      <c r="I23" s="30"/>
      <c r="J23" s="42"/>
      <c r="K23" s="42"/>
      <c r="L23" s="30"/>
      <c r="T23" s="44"/>
      <c r="U23" s="44"/>
      <c r="AB23" s="39">
        <v>12</v>
      </c>
      <c r="AC23" s="58" t="s">
        <v>158</v>
      </c>
      <c r="AD23" s="17" t="s">
        <v>7</v>
      </c>
      <c r="AE23" s="12">
        <v>4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T24" s="44"/>
      <c r="U24" s="44"/>
      <c r="AB24" s="39">
        <v>13</v>
      </c>
      <c r="AC24" s="58" t="s">
        <v>159</v>
      </c>
      <c r="AD24" s="17" t="s">
        <v>6</v>
      </c>
      <c r="AE24" s="12">
        <v>4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14</v>
      </c>
      <c r="AC25" s="58" t="s">
        <v>155</v>
      </c>
      <c r="AD25" s="17" t="s">
        <v>9</v>
      </c>
      <c r="AE25" s="12">
        <v>3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166</v>
      </c>
      <c r="AD26" s="51" t="s">
        <v>7</v>
      </c>
      <c r="AE26" s="20">
        <v>2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167</v>
      </c>
      <c r="AD27" s="17" t="s">
        <v>9</v>
      </c>
      <c r="AE27" s="12">
        <v>2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168</v>
      </c>
      <c r="AD28" s="17" t="s">
        <v>8</v>
      </c>
      <c r="AE28" s="12">
        <v>2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169</v>
      </c>
      <c r="AD29" s="17" t="s">
        <v>7</v>
      </c>
      <c r="AE29" s="12">
        <v>2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7" t="s">
        <v>170</v>
      </c>
      <c r="AD30" s="51" t="s">
        <v>11</v>
      </c>
      <c r="AE30" s="20">
        <v>2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171</v>
      </c>
      <c r="AD31" s="17" t="s">
        <v>9</v>
      </c>
      <c r="AE31" s="12">
        <v>2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160</v>
      </c>
      <c r="AD32" s="17" t="s">
        <v>14</v>
      </c>
      <c r="AE32" s="12">
        <v>2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41" t="s">
        <v>172</v>
      </c>
      <c r="AD33" s="19" t="s">
        <v>9</v>
      </c>
      <c r="AE33" s="16">
        <v>2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173</v>
      </c>
      <c r="AD34" s="17" t="s">
        <v>14</v>
      </c>
      <c r="AE34" s="12">
        <v>2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162</v>
      </c>
      <c r="AD35" s="17" t="s">
        <v>10</v>
      </c>
      <c r="AE35" s="12">
        <v>2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174</v>
      </c>
      <c r="AD36" s="17" t="s">
        <v>10</v>
      </c>
      <c r="AE36" s="12">
        <v>2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41" t="s">
        <v>149</v>
      </c>
      <c r="AD37" s="19" t="s">
        <v>9</v>
      </c>
      <c r="AE37" s="16">
        <v>2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58" t="s">
        <v>178</v>
      </c>
      <c r="AD38" s="17" t="s">
        <v>11</v>
      </c>
      <c r="AE38" s="12">
        <v>1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179</v>
      </c>
      <c r="AD39" s="17" t="s">
        <v>11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180</v>
      </c>
      <c r="AD40" s="17" t="s">
        <v>10</v>
      </c>
      <c r="AE40" s="12">
        <v>1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176</v>
      </c>
      <c r="AD41" s="17" t="s">
        <v>9</v>
      </c>
      <c r="AE41" s="12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181</v>
      </c>
      <c r="AD42" s="17" t="s">
        <v>7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182</v>
      </c>
      <c r="AD43" s="17" t="s">
        <v>7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183</v>
      </c>
      <c r="AD44" s="17" t="s">
        <v>6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185</v>
      </c>
      <c r="AD45" s="17" t="s">
        <v>13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186</v>
      </c>
      <c r="AD46" s="17" t="s">
        <v>13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41" t="s">
        <v>187</v>
      </c>
      <c r="AD47" s="19" t="s">
        <v>13</v>
      </c>
      <c r="AE47" s="16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58" t="s">
        <v>188</v>
      </c>
      <c r="AD48" s="17" t="s">
        <v>8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58" t="s">
        <v>177</v>
      </c>
      <c r="AD49" s="17" t="s">
        <v>8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58" t="s">
        <v>189</v>
      </c>
      <c r="AD50" s="17" t="s">
        <v>7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58" t="s">
        <v>190</v>
      </c>
      <c r="AD51" s="17" t="s">
        <v>7</v>
      </c>
      <c r="AE51" s="12">
        <v>1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C52" s="61">
        <v>27</v>
      </c>
      <c r="AD52" s="17" t="s">
        <v>7</v>
      </c>
      <c r="AE52" s="12">
        <v>1</v>
      </c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C53" s="61">
        <v>10</v>
      </c>
      <c r="AD53" s="17" t="s">
        <v>24</v>
      </c>
      <c r="AE53" s="12">
        <v>1</v>
      </c>
      <c r="AO53" s="1" t="s">
        <v>184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C54" s="61">
        <v>7</v>
      </c>
      <c r="AD54" s="17" t="s">
        <v>24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C55" s="58" t="s">
        <v>192</v>
      </c>
      <c r="AD55" s="17" t="s">
        <v>14</v>
      </c>
      <c r="AE55" s="12">
        <v>1</v>
      </c>
    </row>
    <row r="56" customHeight="1" spans="2:31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  <c r="AC56" s="58" t="s">
        <v>193</v>
      </c>
      <c r="AD56" s="17" t="s">
        <v>9</v>
      </c>
      <c r="AE56" s="12">
        <v>1</v>
      </c>
    </row>
    <row r="57" customHeight="1" spans="2:31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  <c r="AC57" s="58" t="s">
        <v>194</v>
      </c>
      <c r="AD57" s="17" t="s">
        <v>13</v>
      </c>
      <c r="AE57" s="12">
        <v>1</v>
      </c>
    </row>
    <row r="58" customHeight="1" spans="2:31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  <c r="AC58" s="58" t="s">
        <v>195</v>
      </c>
      <c r="AD58" s="17" t="s">
        <v>8</v>
      </c>
      <c r="AE58" s="12">
        <v>1</v>
      </c>
    </row>
    <row r="59" customHeight="1" spans="2:31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  <c r="AC59" s="58" t="s">
        <v>196</v>
      </c>
      <c r="AD59" s="17" t="s">
        <v>7</v>
      </c>
      <c r="AE59" s="12">
        <v>1</v>
      </c>
    </row>
    <row r="60" customHeight="1" spans="2:31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  <c r="AC60" s="58" t="s">
        <v>197</v>
      </c>
      <c r="AD60" s="17" t="s">
        <v>11</v>
      </c>
      <c r="AE60" s="12">
        <v>1</v>
      </c>
    </row>
    <row r="61" customHeight="1" spans="2:31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  <c r="AC61" s="58" t="s">
        <v>198</v>
      </c>
      <c r="AD61" s="17" t="s">
        <v>10</v>
      </c>
      <c r="AE61" s="12">
        <v>1</v>
      </c>
    </row>
    <row r="62" customHeight="1" spans="2:31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  <c r="AC62" s="58" t="s">
        <v>199</v>
      </c>
      <c r="AD62" s="17" t="s">
        <v>8</v>
      </c>
      <c r="AE62" s="12">
        <v>1</v>
      </c>
    </row>
    <row r="63" customHeight="1" spans="2:31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  <c r="AC63" s="58" t="s">
        <v>175</v>
      </c>
      <c r="AD63" s="17" t="s">
        <v>10</v>
      </c>
      <c r="AE63" s="12">
        <v>1</v>
      </c>
    </row>
    <row r="64" customHeight="1" spans="2:31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  <c r="AC64" s="58" t="s">
        <v>200</v>
      </c>
      <c r="AD64" s="17" t="s">
        <v>24</v>
      </c>
      <c r="AE64" s="12">
        <v>1</v>
      </c>
    </row>
    <row r="65" customHeight="1" spans="2:31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  <c r="AC65" s="58" t="s">
        <v>201</v>
      </c>
      <c r="AD65" s="17" t="s">
        <v>24</v>
      </c>
      <c r="AE65" s="12">
        <v>1</v>
      </c>
    </row>
    <row r="66" customHeight="1" spans="2:31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  <c r="AC66" s="58" t="s">
        <v>202</v>
      </c>
      <c r="AD66" s="17" t="s">
        <v>13</v>
      </c>
      <c r="AE66" s="12">
        <v>1</v>
      </c>
    </row>
    <row r="67" customHeight="1" spans="2:31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  <c r="AC67" s="58" t="s">
        <v>203</v>
      </c>
      <c r="AD67" s="17" t="s">
        <v>13</v>
      </c>
      <c r="AE67" s="12">
        <v>1</v>
      </c>
    </row>
    <row r="68" customHeight="1" spans="2:31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  <c r="AC68" s="58" t="s">
        <v>204</v>
      </c>
      <c r="AD68" s="17" t="s">
        <v>13</v>
      </c>
      <c r="AE68" s="12">
        <v>1</v>
      </c>
    </row>
    <row r="69" customHeight="1" spans="2:31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  <c r="AC69" s="58" t="s">
        <v>205</v>
      </c>
      <c r="AD69" s="17" t="s">
        <v>13</v>
      </c>
      <c r="AE69" s="12">
        <v>1</v>
      </c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13:13"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  <row r="112" customHeight="1" spans="13:13"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40"/>
  <dimension ref="A4:AO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223</v>
      </c>
      <c r="Q10" s="45"/>
      <c r="R10" s="45"/>
      <c r="S10" s="46"/>
      <c r="T10" s="44"/>
      <c r="U10" s="44"/>
      <c r="W10" s="47" t="s">
        <v>223</v>
      </c>
      <c r="X10" s="48"/>
      <c r="Y10" s="54"/>
      <c r="Z10" s="44"/>
      <c r="AA10" s="44"/>
      <c r="AC10" s="47" t="s">
        <v>223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4</v>
      </c>
      <c r="E11" s="12">
        <v>4</v>
      </c>
      <c r="F11" s="12">
        <v>0</v>
      </c>
      <c r="G11" s="13">
        <v>0</v>
      </c>
      <c r="H11" s="14">
        <v>25</v>
      </c>
      <c r="I11" s="14">
        <v>8</v>
      </c>
      <c r="J11" s="14">
        <v>17</v>
      </c>
      <c r="K11" s="37">
        <v>2</v>
      </c>
      <c r="L11" s="14">
        <v>12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SUBTOTAL(9,Tabla36789101112131415578910[GOLES])</f>
        <v>107</v>
      </c>
      <c r="AI11" s="60">
        <f>H20</f>
        <v>107</v>
      </c>
    </row>
    <row r="12" customHeight="1" spans="2:31">
      <c r="B12" s="15">
        <v>2</v>
      </c>
      <c r="C12" s="11" t="s">
        <v>11</v>
      </c>
      <c r="D12" s="12">
        <v>4</v>
      </c>
      <c r="E12" s="12">
        <v>4</v>
      </c>
      <c r="F12" s="12">
        <v>0</v>
      </c>
      <c r="G12" s="13">
        <v>0</v>
      </c>
      <c r="H12" s="14">
        <v>19</v>
      </c>
      <c r="I12" s="14">
        <v>8</v>
      </c>
      <c r="J12" s="14">
        <v>11</v>
      </c>
      <c r="K12" s="14">
        <v>2</v>
      </c>
      <c r="L12" s="14">
        <v>12</v>
      </c>
      <c r="O12" s="39">
        <v>1</v>
      </c>
      <c r="P12" s="41" t="s">
        <v>9</v>
      </c>
      <c r="Q12" s="16">
        <v>4</v>
      </c>
      <c r="R12" s="50" t="s">
        <v>14</v>
      </c>
      <c r="S12" s="16">
        <v>3</v>
      </c>
      <c r="T12" s="44"/>
      <c r="U12" s="44"/>
      <c r="V12" s="39">
        <v>1</v>
      </c>
      <c r="W12" s="41" t="s">
        <v>221</v>
      </c>
      <c r="X12" s="51"/>
      <c r="Y12" s="16"/>
      <c r="Z12" s="44"/>
      <c r="AA12" s="44"/>
      <c r="AB12" s="39">
        <v>1</v>
      </c>
      <c r="AC12" s="57" t="s">
        <v>143</v>
      </c>
      <c r="AD12" s="51" t="s">
        <v>8</v>
      </c>
      <c r="AE12" s="20">
        <v>8</v>
      </c>
    </row>
    <row r="13" customHeight="1" spans="2:31">
      <c r="B13" s="15">
        <v>3</v>
      </c>
      <c r="C13" s="11" t="s">
        <v>7</v>
      </c>
      <c r="D13" s="12">
        <v>4</v>
      </c>
      <c r="E13" s="12">
        <v>3</v>
      </c>
      <c r="F13" s="12">
        <v>0</v>
      </c>
      <c r="G13" s="13">
        <v>1</v>
      </c>
      <c r="H13" s="16">
        <v>14</v>
      </c>
      <c r="I13" s="14">
        <v>8</v>
      </c>
      <c r="J13" s="14">
        <v>6</v>
      </c>
      <c r="K13" s="14">
        <v>2</v>
      </c>
      <c r="L13" s="14">
        <v>9</v>
      </c>
      <c r="O13" s="39">
        <v>2</v>
      </c>
      <c r="P13" s="41" t="s">
        <v>11</v>
      </c>
      <c r="Q13" s="16">
        <v>4</v>
      </c>
      <c r="R13" s="41" t="s">
        <v>20</v>
      </c>
      <c r="S13" s="13">
        <v>2</v>
      </c>
      <c r="T13" s="44"/>
      <c r="U13" s="44"/>
      <c r="Z13" s="44"/>
      <c r="AA13" s="44"/>
      <c r="AB13" s="39">
        <v>2</v>
      </c>
      <c r="AC13" s="58" t="s">
        <v>145</v>
      </c>
      <c r="AD13" s="17" t="s">
        <v>9</v>
      </c>
      <c r="AE13" s="12">
        <v>7</v>
      </c>
    </row>
    <row r="14" customHeight="1" spans="2:31">
      <c r="B14" s="10">
        <v>4</v>
      </c>
      <c r="C14" s="11" t="s">
        <v>8</v>
      </c>
      <c r="D14" s="12">
        <v>4</v>
      </c>
      <c r="E14" s="12">
        <v>2</v>
      </c>
      <c r="F14" s="12">
        <v>0</v>
      </c>
      <c r="G14" s="13">
        <v>2</v>
      </c>
      <c r="H14" s="14">
        <v>18</v>
      </c>
      <c r="I14" s="14">
        <v>14</v>
      </c>
      <c r="J14" s="14">
        <v>4</v>
      </c>
      <c r="K14" s="14">
        <v>3.5</v>
      </c>
      <c r="L14" s="14">
        <v>6</v>
      </c>
      <c r="O14" s="39">
        <v>3</v>
      </c>
      <c r="P14" s="41" t="s">
        <v>10</v>
      </c>
      <c r="Q14" s="16">
        <v>3</v>
      </c>
      <c r="R14" s="41" t="s">
        <v>8</v>
      </c>
      <c r="S14" s="16">
        <v>2</v>
      </c>
      <c r="T14" s="44"/>
      <c r="U14" s="44"/>
      <c r="Z14" s="44"/>
      <c r="AA14" s="44"/>
      <c r="AB14" s="39">
        <v>3</v>
      </c>
      <c r="AC14" s="58" t="s">
        <v>147</v>
      </c>
      <c r="AD14" s="17" t="s">
        <v>9</v>
      </c>
      <c r="AE14" s="12">
        <v>6</v>
      </c>
    </row>
    <row r="15" customHeight="1" spans="2:31">
      <c r="B15" s="10">
        <v>5</v>
      </c>
      <c r="C15" s="17" t="s">
        <v>23</v>
      </c>
      <c r="D15" s="12">
        <v>4</v>
      </c>
      <c r="E15" s="12">
        <v>2</v>
      </c>
      <c r="F15" s="12">
        <v>0</v>
      </c>
      <c r="G15" s="13">
        <v>2</v>
      </c>
      <c r="H15" s="14">
        <v>12</v>
      </c>
      <c r="I15" s="14">
        <v>10</v>
      </c>
      <c r="J15" s="14">
        <v>2</v>
      </c>
      <c r="K15" s="14">
        <v>2.5</v>
      </c>
      <c r="L15" s="14">
        <v>6</v>
      </c>
      <c r="O15" s="39">
        <v>4</v>
      </c>
      <c r="P15" s="41" t="s">
        <v>7</v>
      </c>
      <c r="Q15" s="16">
        <v>2</v>
      </c>
      <c r="R15" s="41" t="s">
        <v>13</v>
      </c>
      <c r="S15" s="16">
        <v>0</v>
      </c>
      <c r="T15" s="44"/>
      <c r="U15" s="44"/>
      <c r="Z15" s="44"/>
      <c r="AA15" s="44"/>
      <c r="AB15" s="39">
        <v>4</v>
      </c>
      <c r="AC15" s="58" t="s">
        <v>219</v>
      </c>
      <c r="AD15" s="17" t="s">
        <v>11</v>
      </c>
      <c r="AE15" s="12">
        <v>6</v>
      </c>
    </row>
    <row r="16" customHeight="1" spans="2:31">
      <c r="B16" s="18">
        <v>6</v>
      </c>
      <c r="C16" s="19" t="s">
        <v>20</v>
      </c>
      <c r="D16" s="20">
        <v>4</v>
      </c>
      <c r="E16" s="20">
        <v>1</v>
      </c>
      <c r="F16" s="20">
        <v>0</v>
      </c>
      <c r="G16" s="16">
        <v>3</v>
      </c>
      <c r="H16" s="21">
        <v>8</v>
      </c>
      <c r="I16" s="21">
        <v>14</v>
      </c>
      <c r="J16" s="21">
        <v>-6</v>
      </c>
      <c r="K16" s="21">
        <v>3.5</v>
      </c>
      <c r="L16" s="21">
        <v>3</v>
      </c>
      <c r="T16" s="44"/>
      <c r="U16" s="44"/>
      <c r="Z16" s="44"/>
      <c r="AA16" s="44"/>
      <c r="AB16" s="39">
        <v>5</v>
      </c>
      <c r="AC16" s="58" t="s">
        <v>146</v>
      </c>
      <c r="AD16" s="17" t="s">
        <v>10</v>
      </c>
      <c r="AE16" s="12">
        <v>4</v>
      </c>
    </row>
    <row r="17" customHeight="1" spans="2:31">
      <c r="B17" s="22">
        <v>7</v>
      </c>
      <c r="C17" s="23" t="s">
        <v>13</v>
      </c>
      <c r="D17" s="24">
        <v>3</v>
      </c>
      <c r="E17" s="24">
        <v>0</v>
      </c>
      <c r="F17" s="24">
        <v>0</v>
      </c>
      <c r="G17" s="25">
        <v>3</v>
      </c>
      <c r="H17" s="26">
        <v>4</v>
      </c>
      <c r="I17" s="26">
        <v>13</v>
      </c>
      <c r="J17" s="26">
        <v>-9</v>
      </c>
      <c r="K17" s="26">
        <v>4.33333333333333</v>
      </c>
      <c r="L17" s="26">
        <v>0</v>
      </c>
      <c r="T17" s="44"/>
      <c r="U17" s="44"/>
      <c r="Z17" s="44"/>
      <c r="AA17" s="44"/>
      <c r="AB17" s="39">
        <v>6</v>
      </c>
      <c r="AC17" s="58" t="s">
        <v>152</v>
      </c>
      <c r="AD17" s="17" t="s">
        <v>8</v>
      </c>
      <c r="AE17" s="12">
        <v>4</v>
      </c>
    </row>
    <row r="18" customHeight="1" spans="2:31">
      <c r="B18" s="22">
        <v>8</v>
      </c>
      <c r="C18" s="23" t="s">
        <v>14</v>
      </c>
      <c r="D18" s="24">
        <v>3</v>
      </c>
      <c r="E18" s="24">
        <v>0</v>
      </c>
      <c r="F18" s="24">
        <v>0</v>
      </c>
      <c r="G18" s="25">
        <v>3</v>
      </c>
      <c r="H18" s="26">
        <v>5</v>
      </c>
      <c r="I18" s="26">
        <v>16</v>
      </c>
      <c r="J18" s="26">
        <v>-11</v>
      </c>
      <c r="K18" s="26">
        <v>5.33333333333333</v>
      </c>
      <c r="L18" s="26">
        <v>0</v>
      </c>
      <c r="T18" s="44"/>
      <c r="U18" s="44"/>
      <c r="Z18" s="44"/>
      <c r="AA18" s="44"/>
      <c r="AB18" s="39">
        <v>7</v>
      </c>
      <c r="AC18" s="58" t="s">
        <v>156</v>
      </c>
      <c r="AD18" s="17" t="s">
        <v>11</v>
      </c>
      <c r="AE18" s="12">
        <v>4</v>
      </c>
    </row>
    <row r="19" customHeight="1" spans="2:31">
      <c r="B19" s="16">
        <v>9</v>
      </c>
      <c r="C19" s="23" t="s">
        <v>24</v>
      </c>
      <c r="D19" s="24">
        <v>2</v>
      </c>
      <c r="E19" s="24">
        <v>0</v>
      </c>
      <c r="F19" s="24">
        <v>0</v>
      </c>
      <c r="G19" s="25">
        <v>2</v>
      </c>
      <c r="H19" s="26">
        <v>2</v>
      </c>
      <c r="I19" s="26">
        <v>16</v>
      </c>
      <c r="J19" s="26">
        <v>-14</v>
      </c>
      <c r="K19" s="26">
        <v>8</v>
      </c>
      <c r="L19" s="26">
        <v>0</v>
      </c>
      <c r="T19" s="44"/>
      <c r="U19" s="44"/>
      <c r="AB19" s="39">
        <v>8</v>
      </c>
      <c r="AC19" s="58" t="s">
        <v>148</v>
      </c>
      <c r="AD19" s="17" t="s">
        <v>10</v>
      </c>
      <c r="AE19" s="12">
        <v>4</v>
      </c>
    </row>
    <row r="20" customHeight="1" spans="4:31">
      <c r="D20" s="1">
        <f>SUM(D11:D19)/2</f>
        <v>16</v>
      </c>
      <c r="E20" s="1">
        <f>SUM(E11:E19)</f>
        <v>16</v>
      </c>
      <c r="F20" s="1">
        <f>SUM(F11:F19)/2</f>
        <v>0</v>
      </c>
      <c r="G20" s="1">
        <f>SUM(G11:G19)</f>
        <v>16</v>
      </c>
      <c r="H20" s="1">
        <f>SUM(H11:H19)</f>
        <v>107</v>
      </c>
      <c r="I20" s="1">
        <f>SUM(I11:I19)</f>
        <v>107</v>
      </c>
      <c r="T20" s="44"/>
      <c r="U20" s="44"/>
      <c r="AB20" s="39">
        <v>9</v>
      </c>
      <c r="AC20" s="58" t="s">
        <v>157</v>
      </c>
      <c r="AD20" s="17" t="s">
        <v>11</v>
      </c>
      <c r="AE20" s="12">
        <v>4</v>
      </c>
    </row>
    <row r="21" customHeight="1" spans="2:31">
      <c r="B21" s="29"/>
      <c r="C21" s="1" t="s">
        <v>153</v>
      </c>
      <c r="T21" s="44"/>
      <c r="U21" s="44"/>
      <c r="AB21" s="39">
        <v>10</v>
      </c>
      <c r="AC21" s="58" t="s">
        <v>158</v>
      </c>
      <c r="AD21" s="17" t="s">
        <v>7</v>
      </c>
      <c r="AE21" s="12">
        <v>4</v>
      </c>
    </row>
    <row r="22" customHeight="1" spans="20:31">
      <c r="T22" s="44"/>
      <c r="U22" s="44"/>
      <c r="AB22" s="39">
        <v>11</v>
      </c>
      <c r="AC22" s="58" t="s">
        <v>159</v>
      </c>
      <c r="AD22" s="17" t="s">
        <v>6</v>
      </c>
      <c r="AE22" s="12">
        <v>4</v>
      </c>
    </row>
    <row r="23" customHeight="1" spans="2:31">
      <c r="B23" s="30"/>
      <c r="C23" s="30"/>
      <c r="D23" s="30"/>
      <c r="E23" s="30"/>
      <c r="F23" s="30"/>
      <c r="G23" s="30"/>
      <c r="H23" s="30"/>
      <c r="I23" s="30"/>
      <c r="J23" s="42"/>
      <c r="K23" s="42"/>
      <c r="L23" s="30"/>
      <c r="T23" s="44"/>
      <c r="U23" s="44"/>
      <c r="AB23" s="39">
        <v>12</v>
      </c>
      <c r="AC23" s="58" t="s">
        <v>154</v>
      </c>
      <c r="AD23" s="17" t="s">
        <v>9</v>
      </c>
      <c r="AE23" s="12">
        <v>3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T24" s="44"/>
      <c r="U24" s="44"/>
      <c r="AB24" s="39">
        <v>13</v>
      </c>
      <c r="AC24" s="58" t="s">
        <v>151</v>
      </c>
      <c r="AD24" s="17" t="s">
        <v>6</v>
      </c>
      <c r="AE24" s="12">
        <v>3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14</v>
      </c>
      <c r="AC25" s="58" t="s">
        <v>166</v>
      </c>
      <c r="AD25" s="17" t="s">
        <v>7</v>
      </c>
      <c r="AE25" s="12">
        <v>2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167</v>
      </c>
      <c r="AD26" s="51" t="s">
        <v>9</v>
      </c>
      <c r="AE26" s="20">
        <v>2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168</v>
      </c>
      <c r="AD27" s="17" t="s">
        <v>8</v>
      </c>
      <c r="AE27" s="12">
        <v>2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169</v>
      </c>
      <c r="AD28" s="17" t="s">
        <v>7</v>
      </c>
      <c r="AE28" s="12">
        <v>2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170</v>
      </c>
      <c r="AD29" s="17" t="s">
        <v>11</v>
      </c>
      <c r="AE29" s="12">
        <v>2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7" t="s">
        <v>171</v>
      </c>
      <c r="AD30" s="51" t="s">
        <v>9</v>
      </c>
      <c r="AE30" s="20">
        <v>2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160</v>
      </c>
      <c r="AD31" s="17" t="s">
        <v>14</v>
      </c>
      <c r="AE31" s="12">
        <v>2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172</v>
      </c>
      <c r="AD32" s="17" t="s">
        <v>9</v>
      </c>
      <c r="AE32" s="12">
        <v>2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41" t="s">
        <v>173</v>
      </c>
      <c r="AD33" s="19" t="s">
        <v>14</v>
      </c>
      <c r="AE33" s="16">
        <v>2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178</v>
      </c>
      <c r="AD34" s="17" t="s">
        <v>11</v>
      </c>
      <c r="AE34" s="12">
        <v>1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179</v>
      </c>
      <c r="AD35" s="17" t="s">
        <v>11</v>
      </c>
      <c r="AE35" s="12">
        <v>1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162</v>
      </c>
      <c r="AD36" s="17" t="s">
        <v>10</v>
      </c>
      <c r="AE36" s="12">
        <v>1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58" t="s">
        <v>180</v>
      </c>
      <c r="AD37" s="17" t="s">
        <v>10</v>
      </c>
      <c r="AE37" s="12">
        <v>1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58" t="s">
        <v>176</v>
      </c>
      <c r="AD38" s="17" t="s">
        <v>9</v>
      </c>
      <c r="AE38" s="12">
        <v>1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155</v>
      </c>
      <c r="AD39" s="17" t="s">
        <v>9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181</v>
      </c>
      <c r="AD40" s="17" t="s">
        <v>7</v>
      </c>
      <c r="AE40" s="12">
        <v>1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182</v>
      </c>
      <c r="AD41" s="17" t="s">
        <v>7</v>
      </c>
      <c r="AE41" s="12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183</v>
      </c>
      <c r="AD42" s="17" t="s">
        <v>6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185</v>
      </c>
      <c r="AD43" s="17" t="s">
        <v>13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186</v>
      </c>
      <c r="AD44" s="17" t="s">
        <v>13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187</v>
      </c>
      <c r="AD45" s="17" t="s">
        <v>13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188</v>
      </c>
      <c r="AD46" s="17" t="s">
        <v>8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41" t="s">
        <v>177</v>
      </c>
      <c r="AD47" s="19" t="s">
        <v>8</v>
      </c>
      <c r="AE47" s="16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58" t="s">
        <v>189</v>
      </c>
      <c r="AD48" s="17" t="s">
        <v>7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58" t="s">
        <v>190</v>
      </c>
      <c r="AD49" s="17" t="s">
        <v>7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61">
        <v>27</v>
      </c>
      <c r="AD50" s="17" t="s">
        <v>7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61">
        <v>10</v>
      </c>
      <c r="AD51" s="17" t="s">
        <v>24</v>
      </c>
      <c r="AE51" s="12">
        <v>1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C52" s="61">
        <v>7</v>
      </c>
      <c r="AD52" s="17" t="s">
        <v>24</v>
      </c>
      <c r="AE52" s="12">
        <v>1</v>
      </c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C53" s="58" t="s">
        <v>192</v>
      </c>
      <c r="AD53" s="17" t="s">
        <v>14</v>
      </c>
      <c r="AE53" s="12">
        <v>1</v>
      </c>
      <c r="AO53" s="1" t="s">
        <v>184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C54" s="58" t="s">
        <v>193</v>
      </c>
      <c r="AD54" s="17" t="s">
        <v>9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C55" s="58" t="s">
        <v>194</v>
      </c>
      <c r="AD55" s="17" t="s">
        <v>13</v>
      </c>
      <c r="AE55" s="12">
        <v>1</v>
      </c>
    </row>
    <row r="56" customHeight="1" spans="2:31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  <c r="AC56" s="58" t="s">
        <v>195</v>
      </c>
      <c r="AD56" s="17" t="s">
        <v>8</v>
      </c>
      <c r="AE56" s="12">
        <v>1</v>
      </c>
    </row>
    <row r="57" customHeight="1" spans="2:31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  <c r="AC57" s="58" t="s">
        <v>196</v>
      </c>
      <c r="AD57" s="17" t="s">
        <v>7</v>
      </c>
      <c r="AE57" s="12">
        <v>1</v>
      </c>
    </row>
    <row r="58" customHeight="1" spans="2:31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  <c r="AC58" s="58" t="s">
        <v>197</v>
      </c>
      <c r="AD58" s="17" t="s">
        <v>11</v>
      </c>
      <c r="AE58" s="12">
        <v>1</v>
      </c>
    </row>
    <row r="59" customHeight="1" spans="2:31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  <c r="AC59" s="58" t="s">
        <v>174</v>
      </c>
      <c r="AD59" s="17" t="s">
        <v>10</v>
      </c>
      <c r="AE59" s="12">
        <v>1</v>
      </c>
    </row>
    <row r="60" customHeight="1" spans="2:31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  <c r="AC60" s="58" t="s">
        <v>198</v>
      </c>
      <c r="AD60" s="17" t="s">
        <v>10</v>
      </c>
      <c r="AE60" s="12">
        <v>1</v>
      </c>
    </row>
    <row r="61" customHeight="1" spans="2:31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  <c r="AC61" s="58" t="s">
        <v>199</v>
      </c>
      <c r="AD61" s="17" t="s">
        <v>8</v>
      </c>
      <c r="AE61" s="12">
        <v>1</v>
      </c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13:13"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  <row r="112" customHeight="1" spans="13:13">
      <c r="M112" s="30"/>
    </row>
  </sheetData>
  <sortState ref="P12:S15">
    <sortCondition ref="Q12:Q15" descending="1"/>
    <sortCondition ref="S12:S15" descending="1"/>
  </sortState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9"/>
  <dimension ref="A4:AO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224</v>
      </c>
      <c r="Q10" s="45"/>
      <c r="R10" s="45"/>
      <c r="S10" s="46"/>
      <c r="T10" s="44"/>
      <c r="U10" s="44"/>
      <c r="W10" s="47" t="s">
        <v>224</v>
      </c>
      <c r="X10" s="48"/>
      <c r="Y10" s="54"/>
      <c r="Z10" s="44"/>
      <c r="AA10" s="44"/>
      <c r="AC10" s="47" t="s">
        <v>224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3</v>
      </c>
      <c r="E11" s="12">
        <v>3</v>
      </c>
      <c r="F11" s="12">
        <v>0</v>
      </c>
      <c r="G11" s="13">
        <v>0</v>
      </c>
      <c r="H11" s="14">
        <v>21</v>
      </c>
      <c r="I11" s="14">
        <v>5</v>
      </c>
      <c r="J11" s="14">
        <v>16</v>
      </c>
      <c r="K11" s="37">
        <v>1.66666666666667</v>
      </c>
      <c r="L11" s="14">
        <v>9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SUBTOTAL(9,Tabla367891011121314155789[GOLES])</f>
        <v>87</v>
      </c>
      <c r="AI11" s="60">
        <f>H21</f>
        <v>87</v>
      </c>
    </row>
    <row r="12" customHeight="1" spans="2:31">
      <c r="B12" s="15">
        <v>2</v>
      </c>
      <c r="C12" s="11" t="s">
        <v>11</v>
      </c>
      <c r="D12" s="12">
        <v>3</v>
      </c>
      <c r="E12" s="12">
        <v>3</v>
      </c>
      <c r="F12" s="12">
        <v>0</v>
      </c>
      <c r="G12" s="13">
        <v>0</v>
      </c>
      <c r="H12" s="14">
        <v>15</v>
      </c>
      <c r="I12" s="14">
        <v>6</v>
      </c>
      <c r="J12" s="14">
        <v>9</v>
      </c>
      <c r="K12" s="14">
        <v>2</v>
      </c>
      <c r="L12" s="14">
        <v>9</v>
      </c>
      <c r="O12" s="39">
        <v>1</v>
      </c>
      <c r="P12" s="41" t="s">
        <v>9</v>
      </c>
      <c r="Q12" s="16">
        <v>8</v>
      </c>
      <c r="R12" s="50" t="s">
        <v>24</v>
      </c>
      <c r="S12" s="16">
        <v>0</v>
      </c>
      <c r="T12" s="44"/>
      <c r="U12" s="44"/>
      <c r="V12" s="39">
        <v>1</v>
      </c>
      <c r="W12" s="41" t="s">
        <v>225</v>
      </c>
      <c r="X12" s="51" t="s">
        <v>11</v>
      </c>
      <c r="Y12" s="16">
        <v>1</v>
      </c>
      <c r="Z12" s="44"/>
      <c r="AA12" s="44"/>
      <c r="AB12" s="39">
        <v>1</v>
      </c>
      <c r="AC12" s="57" t="s">
        <v>143</v>
      </c>
      <c r="AD12" s="51" t="s">
        <v>8</v>
      </c>
      <c r="AE12" s="20">
        <v>7</v>
      </c>
    </row>
    <row r="13" customHeight="1" spans="2:31">
      <c r="B13" s="15">
        <v>3</v>
      </c>
      <c r="C13" s="11" t="s">
        <v>8</v>
      </c>
      <c r="D13" s="12">
        <v>3</v>
      </c>
      <c r="E13" s="12">
        <v>2</v>
      </c>
      <c r="F13" s="12">
        <v>0</v>
      </c>
      <c r="G13" s="13">
        <v>1</v>
      </c>
      <c r="H13" s="16">
        <v>16</v>
      </c>
      <c r="I13" s="14">
        <v>11</v>
      </c>
      <c r="J13" s="14">
        <v>5</v>
      </c>
      <c r="K13" s="14">
        <v>3.66666666666667</v>
      </c>
      <c r="L13" s="14">
        <v>6</v>
      </c>
      <c r="O13" s="39">
        <v>2</v>
      </c>
      <c r="P13" s="41" t="s">
        <v>8</v>
      </c>
      <c r="Q13" s="16">
        <v>7</v>
      </c>
      <c r="R13" s="41" t="s">
        <v>14</v>
      </c>
      <c r="S13" s="13">
        <v>0</v>
      </c>
      <c r="T13" s="44"/>
      <c r="U13" s="44"/>
      <c r="Z13" s="44"/>
      <c r="AA13" s="44"/>
      <c r="AB13" s="39">
        <v>2</v>
      </c>
      <c r="AC13" s="58" t="s">
        <v>147</v>
      </c>
      <c r="AD13" s="17" t="s">
        <v>9</v>
      </c>
      <c r="AE13" s="12">
        <v>6</v>
      </c>
    </row>
    <row r="14" customHeight="1" spans="2:31">
      <c r="B14" s="10">
        <v>4</v>
      </c>
      <c r="C14" s="11" t="s">
        <v>226</v>
      </c>
      <c r="D14" s="12">
        <v>3</v>
      </c>
      <c r="E14" s="12">
        <v>2</v>
      </c>
      <c r="F14" s="12">
        <v>0</v>
      </c>
      <c r="G14" s="13">
        <v>1</v>
      </c>
      <c r="H14" s="14">
        <v>12</v>
      </c>
      <c r="I14" s="14">
        <v>8</v>
      </c>
      <c r="J14" s="14">
        <v>4</v>
      </c>
      <c r="K14" s="14">
        <v>2.66666666666667</v>
      </c>
      <c r="L14" s="14">
        <v>6</v>
      </c>
      <c r="O14" s="39">
        <v>3</v>
      </c>
      <c r="P14" s="41" t="s">
        <v>11</v>
      </c>
      <c r="Q14" s="16">
        <v>6</v>
      </c>
      <c r="R14" s="41" t="s">
        <v>13</v>
      </c>
      <c r="S14" s="16">
        <v>1</v>
      </c>
      <c r="T14" s="44"/>
      <c r="U14" s="44"/>
      <c r="Z14" s="44"/>
      <c r="AA14" s="44"/>
      <c r="AB14" s="39">
        <v>3</v>
      </c>
      <c r="AC14" s="58" t="s">
        <v>146</v>
      </c>
      <c r="AD14" s="17" t="s">
        <v>10</v>
      </c>
      <c r="AE14" s="12">
        <v>4</v>
      </c>
    </row>
    <row r="15" customHeight="1" spans="2:31">
      <c r="B15" s="10">
        <v>5</v>
      </c>
      <c r="C15" s="17" t="s">
        <v>23</v>
      </c>
      <c r="D15" s="12">
        <v>3</v>
      </c>
      <c r="E15" s="12">
        <v>1</v>
      </c>
      <c r="F15" s="12">
        <v>0</v>
      </c>
      <c r="G15" s="13">
        <v>2</v>
      </c>
      <c r="H15" s="14">
        <v>9</v>
      </c>
      <c r="I15" s="14">
        <v>8</v>
      </c>
      <c r="J15" s="14">
        <v>1</v>
      </c>
      <c r="K15" s="14">
        <v>2.66666666666667</v>
      </c>
      <c r="L15" s="14">
        <v>3</v>
      </c>
      <c r="T15" s="44"/>
      <c r="U15" s="44"/>
      <c r="Z15" s="44"/>
      <c r="AA15" s="44"/>
      <c r="AB15" s="39">
        <v>4</v>
      </c>
      <c r="AC15" s="58" t="s">
        <v>145</v>
      </c>
      <c r="AD15" s="17" t="s">
        <v>9</v>
      </c>
      <c r="AE15" s="12">
        <v>4</v>
      </c>
    </row>
    <row r="16" customHeight="1" spans="2:31">
      <c r="B16" s="18">
        <v>6</v>
      </c>
      <c r="C16" s="19" t="s">
        <v>20</v>
      </c>
      <c r="D16" s="20">
        <v>3</v>
      </c>
      <c r="E16" s="20">
        <v>1</v>
      </c>
      <c r="F16" s="20">
        <v>0</v>
      </c>
      <c r="G16" s="16">
        <v>2</v>
      </c>
      <c r="H16" s="21">
        <v>6</v>
      </c>
      <c r="I16" s="21">
        <v>10</v>
      </c>
      <c r="J16" s="21">
        <v>-4</v>
      </c>
      <c r="K16" s="21">
        <v>3.33333333333333</v>
      </c>
      <c r="L16" s="21">
        <v>3</v>
      </c>
      <c r="T16" s="44"/>
      <c r="U16" s="44"/>
      <c r="Z16" s="44"/>
      <c r="AA16" s="44"/>
      <c r="AB16" s="39">
        <v>5</v>
      </c>
      <c r="AC16" s="58" t="s">
        <v>152</v>
      </c>
      <c r="AD16" s="17" t="s">
        <v>8</v>
      </c>
      <c r="AE16" s="12">
        <v>4</v>
      </c>
    </row>
    <row r="17" customHeight="1" spans="2:31">
      <c r="B17" s="22">
        <v>7</v>
      </c>
      <c r="C17" s="23" t="s">
        <v>227</v>
      </c>
      <c r="D17" s="24">
        <v>0</v>
      </c>
      <c r="E17" s="24">
        <v>0</v>
      </c>
      <c r="F17" s="24">
        <v>0</v>
      </c>
      <c r="G17" s="25">
        <v>0</v>
      </c>
      <c r="H17" s="26">
        <v>0</v>
      </c>
      <c r="I17" s="26">
        <v>0</v>
      </c>
      <c r="J17" s="26">
        <v>0</v>
      </c>
      <c r="K17" s="26" t="s">
        <v>228</v>
      </c>
      <c r="L17" s="26">
        <v>0</v>
      </c>
      <c r="T17" s="44"/>
      <c r="U17" s="44"/>
      <c r="Z17" s="44"/>
      <c r="AA17" s="44"/>
      <c r="AB17" s="39">
        <v>6</v>
      </c>
      <c r="AC17" s="58" t="s">
        <v>219</v>
      </c>
      <c r="AD17" s="17" t="s">
        <v>11</v>
      </c>
      <c r="AE17" s="12">
        <v>4</v>
      </c>
    </row>
    <row r="18" customHeight="1" spans="2:31">
      <c r="B18" s="22">
        <v>8</v>
      </c>
      <c r="C18" s="23" t="s">
        <v>13</v>
      </c>
      <c r="D18" s="24">
        <v>2</v>
      </c>
      <c r="E18" s="24">
        <v>0</v>
      </c>
      <c r="F18" s="24">
        <v>0</v>
      </c>
      <c r="G18" s="25">
        <v>2</v>
      </c>
      <c r="H18" s="26">
        <v>4</v>
      </c>
      <c r="I18" s="26">
        <v>11</v>
      </c>
      <c r="J18" s="26">
        <v>-7</v>
      </c>
      <c r="K18" s="26">
        <v>5.5</v>
      </c>
      <c r="L18" s="26">
        <v>0</v>
      </c>
      <c r="T18" s="44"/>
      <c r="U18" s="44"/>
      <c r="Z18" s="44"/>
      <c r="AA18" s="44"/>
      <c r="AB18" s="39">
        <v>7</v>
      </c>
      <c r="AC18" s="58" t="s">
        <v>156</v>
      </c>
      <c r="AD18" s="17" t="s">
        <v>11</v>
      </c>
      <c r="AE18" s="12">
        <v>4</v>
      </c>
    </row>
    <row r="19" customHeight="1" spans="2:31">
      <c r="B19" s="27">
        <v>9</v>
      </c>
      <c r="C19" s="23" t="s">
        <v>14</v>
      </c>
      <c r="D19" s="24">
        <v>2</v>
      </c>
      <c r="E19" s="24">
        <v>0</v>
      </c>
      <c r="F19" s="24">
        <v>0</v>
      </c>
      <c r="G19" s="25">
        <v>2</v>
      </c>
      <c r="H19" s="26">
        <v>2</v>
      </c>
      <c r="I19" s="26">
        <v>12</v>
      </c>
      <c r="J19" s="26">
        <v>-10</v>
      </c>
      <c r="K19" s="26">
        <v>6</v>
      </c>
      <c r="L19" s="26">
        <v>0</v>
      </c>
      <c r="T19" s="44"/>
      <c r="U19" s="44"/>
      <c r="AB19" s="39">
        <v>8</v>
      </c>
      <c r="AC19" s="58" t="s">
        <v>148</v>
      </c>
      <c r="AD19" s="17" t="s">
        <v>10</v>
      </c>
      <c r="AE19" s="12">
        <v>3</v>
      </c>
    </row>
    <row r="20" customHeight="1" spans="2:31">
      <c r="B20" s="16">
        <v>10</v>
      </c>
      <c r="C20" s="28" t="s">
        <v>24</v>
      </c>
      <c r="D20" s="24">
        <v>2</v>
      </c>
      <c r="E20" s="24">
        <v>0</v>
      </c>
      <c r="F20" s="24">
        <v>0</v>
      </c>
      <c r="G20" s="25">
        <v>2</v>
      </c>
      <c r="H20" s="26">
        <v>2</v>
      </c>
      <c r="I20" s="26">
        <v>16</v>
      </c>
      <c r="J20" s="26">
        <v>-14</v>
      </c>
      <c r="K20" s="26">
        <v>8</v>
      </c>
      <c r="L20" s="26">
        <v>0</v>
      </c>
      <c r="T20" s="44"/>
      <c r="U20" s="44"/>
      <c r="AB20" s="39">
        <v>9</v>
      </c>
      <c r="AC20" s="58" t="s">
        <v>157</v>
      </c>
      <c r="AD20" s="17" t="s">
        <v>11</v>
      </c>
      <c r="AE20" s="12">
        <v>3</v>
      </c>
    </row>
    <row r="21" customHeight="1" spans="4:31">
      <c r="D21" s="1">
        <f>SUM(D11:D20)/2</f>
        <v>12</v>
      </c>
      <c r="E21" s="1">
        <f>SUM(E11:E20)</f>
        <v>12</v>
      </c>
      <c r="F21" s="1">
        <f>SUM(F11:F20)/2</f>
        <v>0</v>
      </c>
      <c r="G21" s="1">
        <f>SUM(G11:G20)</f>
        <v>12</v>
      </c>
      <c r="H21" s="1">
        <f>SUM(H11:H20)</f>
        <v>87</v>
      </c>
      <c r="I21" s="1">
        <f>SUM(I11:I20)</f>
        <v>87</v>
      </c>
      <c r="T21" s="44"/>
      <c r="U21" s="44"/>
      <c r="AB21" s="39">
        <v>10</v>
      </c>
      <c r="AC21" s="58" t="s">
        <v>154</v>
      </c>
      <c r="AD21" s="17" t="s">
        <v>9</v>
      </c>
      <c r="AE21" s="12">
        <v>3</v>
      </c>
    </row>
    <row r="22" customHeight="1" spans="2:31">
      <c r="B22" s="29"/>
      <c r="C22" s="1" t="s">
        <v>153</v>
      </c>
      <c r="T22" s="44"/>
      <c r="U22" s="44"/>
      <c r="AB22" s="39">
        <v>11</v>
      </c>
      <c r="AC22" s="58" t="s">
        <v>158</v>
      </c>
      <c r="AD22" s="17" t="s">
        <v>229</v>
      </c>
      <c r="AE22" s="12">
        <v>3</v>
      </c>
    </row>
    <row r="23" customHeight="1" spans="20:31">
      <c r="T23" s="44"/>
      <c r="U23" s="44"/>
      <c r="AB23" s="39">
        <v>12</v>
      </c>
      <c r="AC23" s="58" t="s">
        <v>159</v>
      </c>
      <c r="AD23" s="17" t="s">
        <v>6</v>
      </c>
      <c r="AE23" s="12">
        <v>3</v>
      </c>
    </row>
    <row r="24" customHeight="1" spans="2:31">
      <c r="B24" s="30"/>
      <c r="C24" s="30"/>
      <c r="D24" s="30"/>
      <c r="E24" s="30"/>
      <c r="F24" s="30"/>
      <c r="G24" s="30"/>
      <c r="H24" s="30"/>
      <c r="I24" s="30"/>
      <c r="J24" s="42"/>
      <c r="K24" s="42"/>
      <c r="L24" s="30"/>
      <c r="T24" s="44"/>
      <c r="U24" s="44"/>
      <c r="AB24" s="39">
        <v>13</v>
      </c>
      <c r="AC24" s="58" t="s">
        <v>166</v>
      </c>
      <c r="AD24" s="17" t="s">
        <v>229</v>
      </c>
      <c r="AE24" s="12">
        <v>2</v>
      </c>
    </row>
    <row r="25" customHeight="1" spans="2:31">
      <c r="B25" s="30"/>
      <c r="C25" s="30"/>
      <c r="D25" s="30"/>
      <c r="E25" s="30"/>
      <c r="F25" s="30"/>
      <c r="G25" s="30"/>
      <c r="H25" s="30"/>
      <c r="I25" s="30"/>
      <c r="J25" s="42"/>
      <c r="K25" s="42"/>
      <c r="L25" s="30"/>
      <c r="AB25" s="39">
        <v>14</v>
      </c>
      <c r="AC25" s="58" t="s">
        <v>167</v>
      </c>
      <c r="AD25" s="17" t="s">
        <v>9</v>
      </c>
      <c r="AE25" s="12">
        <v>2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168</v>
      </c>
      <c r="AD26" s="51" t="s">
        <v>8</v>
      </c>
      <c r="AE26" s="20">
        <v>2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169</v>
      </c>
      <c r="AD27" s="17" t="s">
        <v>229</v>
      </c>
      <c r="AE27" s="12">
        <v>2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151</v>
      </c>
      <c r="AD28" s="17" t="s">
        <v>6</v>
      </c>
      <c r="AE28" s="12">
        <v>2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170</v>
      </c>
      <c r="AD29" s="17" t="s">
        <v>11</v>
      </c>
      <c r="AE29" s="12">
        <v>2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7" t="s">
        <v>171</v>
      </c>
      <c r="AD30" s="51" t="s">
        <v>9</v>
      </c>
      <c r="AE30" s="20">
        <v>2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178</v>
      </c>
      <c r="AD31" s="17" t="s">
        <v>11</v>
      </c>
      <c r="AE31" s="12">
        <v>1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179</v>
      </c>
      <c r="AD32" s="17" t="s">
        <v>11</v>
      </c>
      <c r="AE32" s="12">
        <v>1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58" t="s">
        <v>162</v>
      </c>
      <c r="AD33" s="17" t="s">
        <v>10</v>
      </c>
      <c r="AE33" s="12">
        <v>1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180</v>
      </c>
      <c r="AD34" s="17" t="s">
        <v>10</v>
      </c>
      <c r="AE34" s="12">
        <v>1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176</v>
      </c>
      <c r="AD35" s="17" t="s">
        <v>9</v>
      </c>
      <c r="AE35" s="12">
        <v>1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155</v>
      </c>
      <c r="AD36" s="17" t="s">
        <v>9</v>
      </c>
      <c r="AE36" s="12">
        <v>1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58" t="s">
        <v>181</v>
      </c>
      <c r="AD37" s="17" t="s">
        <v>229</v>
      </c>
      <c r="AE37" s="12">
        <v>1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58" t="s">
        <v>182</v>
      </c>
      <c r="AD38" s="17" t="s">
        <v>229</v>
      </c>
      <c r="AE38" s="12">
        <v>1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183</v>
      </c>
      <c r="AD39" s="17" t="s">
        <v>6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185</v>
      </c>
      <c r="AD40" s="17" t="s">
        <v>13</v>
      </c>
      <c r="AE40" s="12">
        <v>1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186</v>
      </c>
      <c r="AD41" s="17" t="s">
        <v>13</v>
      </c>
      <c r="AE41" s="12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187</v>
      </c>
      <c r="AD42" s="17" t="s">
        <v>13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188</v>
      </c>
      <c r="AD43" s="17" t="s">
        <v>8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177</v>
      </c>
      <c r="AD44" s="17" t="s">
        <v>8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189</v>
      </c>
      <c r="AD45" s="17" t="s">
        <v>229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190</v>
      </c>
      <c r="AD46" s="17" t="s">
        <v>229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61">
        <v>27</v>
      </c>
      <c r="AD47" s="17" t="s">
        <v>229</v>
      </c>
      <c r="AE47" s="12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61">
        <v>10</v>
      </c>
      <c r="AD48" s="17" t="s">
        <v>24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61">
        <v>7</v>
      </c>
      <c r="AD49" s="17" t="s">
        <v>24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58" t="s">
        <v>160</v>
      </c>
      <c r="AD50" s="17" t="s">
        <v>14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58" t="s">
        <v>192</v>
      </c>
      <c r="AD51" s="17" t="s">
        <v>14</v>
      </c>
      <c r="AE51" s="12">
        <v>1</v>
      </c>
    </row>
    <row r="52" customHeight="1" spans="2:31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  <c r="AC52" s="58" t="s">
        <v>172</v>
      </c>
      <c r="AD52" s="17" t="s">
        <v>9</v>
      </c>
      <c r="AE52" s="12">
        <v>1</v>
      </c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C53" s="58" t="s">
        <v>193</v>
      </c>
      <c r="AD53" s="17" t="s">
        <v>9</v>
      </c>
      <c r="AE53" s="12">
        <v>1</v>
      </c>
      <c r="AO53" s="1" t="s">
        <v>184</v>
      </c>
    </row>
    <row r="54" customHeight="1" spans="2:31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  <c r="AC54" s="58" t="s">
        <v>194</v>
      </c>
      <c r="AD54" s="17" t="s">
        <v>13</v>
      </c>
      <c r="AE54" s="12">
        <v>1</v>
      </c>
    </row>
    <row r="55" customHeight="1" spans="2:31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  <c r="AC55" s="58" t="s">
        <v>195</v>
      </c>
      <c r="AD55" s="17" t="s">
        <v>8</v>
      </c>
      <c r="AE55" s="12">
        <v>1</v>
      </c>
    </row>
    <row r="56" customHeight="1" spans="2:13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</row>
    <row r="57" customHeight="1" spans="2:13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</row>
    <row r="58" customHeight="1" spans="2:13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</row>
    <row r="59" customHeight="1" spans="2:13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</row>
    <row r="60" customHeight="1" spans="2:13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</row>
    <row r="61" customHeight="1" spans="2:13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2:13">
      <c r="B106" s="30"/>
      <c r="C106" s="30"/>
      <c r="D106" s="30"/>
      <c r="E106" s="30"/>
      <c r="F106" s="30"/>
      <c r="G106" s="30"/>
      <c r="H106" s="30"/>
      <c r="I106" s="30"/>
      <c r="J106" s="42"/>
      <c r="K106" s="42"/>
      <c r="L106" s="30"/>
      <c r="M106" s="30"/>
    </row>
    <row r="107" customHeight="1" spans="13:13">
      <c r="M107" s="30"/>
    </row>
    <row r="108" customHeight="1" spans="13:13"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  <row r="112" customHeight="1" spans="13:13"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8"/>
  <dimension ref="A4:AO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230</v>
      </c>
      <c r="Q10" s="45"/>
      <c r="R10" s="45"/>
      <c r="S10" s="46"/>
      <c r="T10" s="44"/>
      <c r="U10" s="44"/>
      <c r="W10" s="47" t="s">
        <v>230</v>
      </c>
      <c r="X10" s="48"/>
      <c r="Y10" s="54"/>
      <c r="Z10" s="44"/>
      <c r="AA10" s="44"/>
      <c r="AC10" s="47" t="s">
        <v>230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2</v>
      </c>
      <c r="E11" s="12">
        <v>2</v>
      </c>
      <c r="F11" s="12">
        <v>0</v>
      </c>
      <c r="G11" s="13">
        <v>0</v>
      </c>
      <c r="H11" s="14">
        <v>13</v>
      </c>
      <c r="I11" s="14">
        <v>5</v>
      </c>
      <c r="J11" s="14">
        <v>8</v>
      </c>
      <c r="K11" s="37">
        <v>2.5</v>
      </c>
      <c r="L11" s="14">
        <v>6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SUBTOTAL(9,Tabla36789101112131415578[GOLES])</f>
        <v>65</v>
      </c>
      <c r="AI11" s="60">
        <f>H23</f>
        <v>65</v>
      </c>
    </row>
    <row r="12" customHeight="1" spans="2:31">
      <c r="B12" s="15">
        <v>2</v>
      </c>
      <c r="C12" s="11" t="s">
        <v>11</v>
      </c>
      <c r="D12" s="12">
        <v>2</v>
      </c>
      <c r="E12" s="12">
        <v>2</v>
      </c>
      <c r="F12" s="12">
        <v>0</v>
      </c>
      <c r="G12" s="13">
        <v>0</v>
      </c>
      <c r="H12" s="14">
        <v>9</v>
      </c>
      <c r="I12" s="14">
        <v>5</v>
      </c>
      <c r="J12" s="14">
        <v>4</v>
      </c>
      <c r="K12" s="14">
        <v>2.5</v>
      </c>
      <c r="L12" s="14">
        <v>6</v>
      </c>
      <c r="O12" s="39">
        <v>1</v>
      </c>
      <c r="P12" s="41" t="s">
        <v>229</v>
      </c>
      <c r="Q12" s="16">
        <v>8</v>
      </c>
      <c r="R12" s="50" t="s">
        <v>24</v>
      </c>
      <c r="S12" s="16">
        <v>2</v>
      </c>
      <c r="T12" s="44"/>
      <c r="U12" s="44"/>
      <c r="V12" s="39">
        <v>1</v>
      </c>
      <c r="W12" s="41" t="s">
        <v>173</v>
      </c>
      <c r="X12" s="51" t="s">
        <v>14</v>
      </c>
      <c r="Y12" s="16">
        <v>1</v>
      </c>
      <c r="Z12" s="44"/>
      <c r="AA12" s="44"/>
      <c r="AB12" s="39">
        <v>1</v>
      </c>
      <c r="AC12" s="57" t="s">
        <v>146</v>
      </c>
      <c r="AD12" s="51" t="s">
        <v>10</v>
      </c>
      <c r="AE12" s="20">
        <v>4</v>
      </c>
    </row>
    <row r="13" customHeight="1" spans="2:31">
      <c r="B13" s="15">
        <v>3</v>
      </c>
      <c r="C13" s="11" t="s">
        <v>226</v>
      </c>
      <c r="D13" s="12">
        <v>3</v>
      </c>
      <c r="E13" s="12">
        <v>2</v>
      </c>
      <c r="F13" s="12">
        <v>0</v>
      </c>
      <c r="G13" s="13">
        <v>1</v>
      </c>
      <c r="H13" s="16">
        <v>12</v>
      </c>
      <c r="I13" s="14">
        <v>8</v>
      </c>
      <c r="J13" s="14">
        <v>4</v>
      </c>
      <c r="K13" s="14">
        <v>2.66666666666667</v>
      </c>
      <c r="L13" s="14">
        <v>6</v>
      </c>
      <c r="O13" s="39">
        <v>2</v>
      </c>
      <c r="P13" s="41" t="s">
        <v>6</v>
      </c>
      <c r="Q13" s="16">
        <v>5</v>
      </c>
      <c r="R13" s="41" t="s">
        <v>14</v>
      </c>
      <c r="S13" s="13">
        <v>2</v>
      </c>
      <c r="T13" s="44"/>
      <c r="U13" s="44"/>
      <c r="Z13" s="44"/>
      <c r="AA13" s="44"/>
      <c r="AB13" s="39">
        <v>2</v>
      </c>
      <c r="AC13" s="58" t="s">
        <v>145</v>
      </c>
      <c r="AD13" s="17" t="s">
        <v>9</v>
      </c>
      <c r="AE13" s="12">
        <v>4</v>
      </c>
    </row>
    <row r="14" customHeight="1" spans="2:31">
      <c r="B14" s="10">
        <v>4</v>
      </c>
      <c r="C14" s="11" t="s">
        <v>23</v>
      </c>
      <c r="D14" s="12">
        <v>3</v>
      </c>
      <c r="E14" s="12">
        <v>1</v>
      </c>
      <c r="F14" s="12">
        <v>0</v>
      </c>
      <c r="G14" s="13">
        <v>2</v>
      </c>
      <c r="H14" s="14">
        <v>9</v>
      </c>
      <c r="I14" s="14">
        <v>8</v>
      </c>
      <c r="J14" s="14">
        <v>1</v>
      </c>
      <c r="K14" s="14">
        <v>2.66666666666667</v>
      </c>
      <c r="L14" s="14">
        <v>3</v>
      </c>
      <c r="S14" s="53"/>
      <c r="T14" s="44"/>
      <c r="U14" s="44"/>
      <c r="Z14" s="44"/>
      <c r="AA14" s="44"/>
      <c r="AB14" s="39">
        <v>3</v>
      </c>
      <c r="AC14" s="58" t="s">
        <v>148</v>
      </c>
      <c r="AD14" s="17" t="s">
        <v>10</v>
      </c>
      <c r="AE14" s="12">
        <v>3</v>
      </c>
    </row>
    <row r="15" customHeight="1" spans="2:31">
      <c r="B15" s="10">
        <v>5</v>
      </c>
      <c r="C15" s="17" t="s">
        <v>8</v>
      </c>
      <c r="D15" s="12">
        <v>2</v>
      </c>
      <c r="E15" s="12">
        <v>1</v>
      </c>
      <c r="F15" s="12">
        <v>0</v>
      </c>
      <c r="G15" s="13">
        <v>1</v>
      </c>
      <c r="H15" s="14">
        <v>9</v>
      </c>
      <c r="I15" s="14">
        <v>11</v>
      </c>
      <c r="J15" s="14">
        <v>-2</v>
      </c>
      <c r="K15" s="14">
        <v>5.5</v>
      </c>
      <c r="L15" s="14">
        <v>3</v>
      </c>
      <c r="T15" s="44"/>
      <c r="U15" s="44"/>
      <c r="Z15" s="44"/>
      <c r="AA15" s="44"/>
      <c r="AB15" s="39">
        <v>4</v>
      </c>
      <c r="AC15" s="58" t="s">
        <v>157</v>
      </c>
      <c r="AD15" s="17" t="s">
        <v>11</v>
      </c>
      <c r="AE15" s="12">
        <v>3</v>
      </c>
    </row>
    <row r="16" customHeight="1" spans="2:31">
      <c r="B16" s="18">
        <v>6</v>
      </c>
      <c r="C16" s="19" t="s">
        <v>6</v>
      </c>
      <c r="D16" s="20">
        <v>3</v>
      </c>
      <c r="E16" s="20">
        <v>1</v>
      </c>
      <c r="F16" s="20">
        <v>0</v>
      </c>
      <c r="G16" s="16">
        <v>2</v>
      </c>
      <c r="H16" s="21">
        <v>6</v>
      </c>
      <c r="I16" s="21">
        <v>10</v>
      </c>
      <c r="J16" s="21">
        <v>-4</v>
      </c>
      <c r="K16" s="21">
        <v>3.33333333333333</v>
      </c>
      <c r="L16" s="21">
        <v>3</v>
      </c>
      <c r="T16" s="44"/>
      <c r="U16" s="44"/>
      <c r="Z16" s="44"/>
      <c r="AA16" s="44"/>
      <c r="AB16" s="39">
        <v>5</v>
      </c>
      <c r="AC16" s="58" t="s">
        <v>154</v>
      </c>
      <c r="AD16" s="17" t="s">
        <v>9</v>
      </c>
      <c r="AE16" s="12">
        <v>3</v>
      </c>
    </row>
    <row r="17" customHeight="1" spans="2:31">
      <c r="B17" s="22">
        <v>7</v>
      </c>
      <c r="C17" s="23" t="s">
        <v>231</v>
      </c>
      <c r="D17" s="24">
        <v>0</v>
      </c>
      <c r="E17" s="24">
        <v>0</v>
      </c>
      <c r="F17" s="24">
        <v>0</v>
      </c>
      <c r="G17" s="25">
        <v>0</v>
      </c>
      <c r="H17" s="26">
        <v>0</v>
      </c>
      <c r="I17" s="26">
        <v>0</v>
      </c>
      <c r="J17" s="26">
        <v>0</v>
      </c>
      <c r="K17" s="26" t="s">
        <v>228</v>
      </c>
      <c r="L17" s="26">
        <v>0</v>
      </c>
      <c r="T17" s="44"/>
      <c r="U17" s="44"/>
      <c r="Z17" s="44"/>
      <c r="AA17" s="44"/>
      <c r="AB17" s="39">
        <v>6</v>
      </c>
      <c r="AC17" s="58" t="s">
        <v>152</v>
      </c>
      <c r="AD17" s="17" t="s">
        <v>231</v>
      </c>
      <c r="AE17" s="12">
        <v>3</v>
      </c>
    </row>
    <row r="18" customHeight="1" spans="2:31">
      <c r="B18" s="22">
        <v>8</v>
      </c>
      <c r="C18" s="23" t="s">
        <v>227</v>
      </c>
      <c r="D18" s="24">
        <v>0</v>
      </c>
      <c r="E18" s="24">
        <v>0</v>
      </c>
      <c r="F18" s="24">
        <v>0</v>
      </c>
      <c r="G18" s="25">
        <v>0</v>
      </c>
      <c r="H18" s="26">
        <v>0</v>
      </c>
      <c r="I18" s="26">
        <v>0</v>
      </c>
      <c r="J18" s="26">
        <v>0</v>
      </c>
      <c r="K18" s="26" t="s">
        <v>228</v>
      </c>
      <c r="L18" s="26">
        <v>0</v>
      </c>
      <c r="T18" s="44"/>
      <c r="U18" s="44"/>
      <c r="Z18" s="44"/>
      <c r="AA18" s="44"/>
      <c r="AB18" s="39">
        <v>7</v>
      </c>
      <c r="AC18" s="58" t="s">
        <v>158</v>
      </c>
      <c r="AD18" s="17" t="s">
        <v>229</v>
      </c>
      <c r="AE18" s="12">
        <v>3</v>
      </c>
    </row>
    <row r="19" customHeight="1" spans="2:31">
      <c r="B19" s="27">
        <v>9</v>
      </c>
      <c r="C19" s="23" t="s">
        <v>232</v>
      </c>
      <c r="D19" s="24">
        <v>0</v>
      </c>
      <c r="E19" s="24">
        <v>0</v>
      </c>
      <c r="F19" s="24">
        <v>0</v>
      </c>
      <c r="G19" s="25">
        <v>0</v>
      </c>
      <c r="H19" s="26">
        <v>0</v>
      </c>
      <c r="I19" s="26">
        <v>0</v>
      </c>
      <c r="J19" s="26">
        <v>0</v>
      </c>
      <c r="K19" s="26" t="s">
        <v>228</v>
      </c>
      <c r="L19" s="26">
        <v>0</v>
      </c>
      <c r="T19" s="44"/>
      <c r="U19" s="44"/>
      <c r="AB19" s="39">
        <v>8</v>
      </c>
      <c r="AC19" s="58" t="s">
        <v>159</v>
      </c>
      <c r="AD19" s="17" t="s">
        <v>6</v>
      </c>
      <c r="AE19" s="12">
        <v>3</v>
      </c>
    </row>
    <row r="20" customHeight="1" spans="2:31">
      <c r="B20" s="16">
        <v>10</v>
      </c>
      <c r="C20" s="28" t="s">
        <v>13</v>
      </c>
      <c r="D20" s="24">
        <v>1</v>
      </c>
      <c r="E20" s="24">
        <v>0</v>
      </c>
      <c r="F20" s="24">
        <v>0</v>
      </c>
      <c r="G20" s="25">
        <v>1</v>
      </c>
      <c r="H20" s="26">
        <v>3</v>
      </c>
      <c r="I20" s="26">
        <v>5</v>
      </c>
      <c r="J20" s="26">
        <v>-2</v>
      </c>
      <c r="K20" s="26">
        <v>5</v>
      </c>
      <c r="L20" s="26">
        <v>0</v>
      </c>
      <c r="T20" s="44"/>
      <c r="U20" s="44"/>
      <c r="AB20" s="39">
        <v>9</v>
      </c>
      <c r="AC20" s="58" t="s">
        <v>219</v>
      </c>
      <c r="AD20" s="17" t="s">
        <v>11</v>
      </c>
      <c r="AE20" s="12">
        <v>2</v>
      </c>
    </row>
    <row r="21" customHeight="1" spans="2:31">
      <c r="B21" s="25">
        <v>11</v>
      </c>
      <c r="C21" s="28" t="s">
        <v>14</v>
      </c>
      <c r="D21" s="24">
        <v>1</v>
      </c>
      <c r="E21" s="24">
        <v>0</v>
      </c>
      <c r="F21" s="24">
        <v>0</v>
      </c>
      <c r="G21" s="25">
        <v>1</v>
      </c>
      <c r="H21" s="26">
        <v>2</v>
      </c>
      <c r="I21" s="26">
        <v>5</v>
      </c>
      <c r="J21" s="26">
        <v>-3</v>
      </c>
      <c r="K21" s="26">
        <v>5</v>
      </c>
      <c r="L21" s="26">
        <v>0</v>
      </c>
      <c r="T21" s="44"/>
      <c r="U21" s="44"/>
      <c r="AB21" s="39">
        <v>10</v>
      </c>
      <c r="AC21" s="58" t="s">
        <v>166</v>
      </c>
      <c r="AD21" s="17" t="s">
        <v>229</v>
      </c>
      <c r="AE21" s="12">
        <v>2</v>
      </c>
    </row>
    <row r="22" customHeight="1" spans="2:31">
      <c r="B22" s="25">
        <v>12</v>
      </c>
      <c r="C22" s="28" t="s">
        <v>24</v>
      </c>
      <c r="D22" s="24">
        <v>1</v>
      </c>
      <c r="E22" s="24">
        <v>0</v>
      </c>
      <c r="F22" s="24">
        <v>0</v>
      </c>
      <c r="G22" s="25">
        <v>1</v>
      </c>
      <c r="H22" s="26">
        <v>2</v>
      </c>
      <c r="I22" s="26">
        <v>8</v>
      </c>
      <c r="J22" s="26">
        <v>-6</v>
      </c>
      <c r="K22" s="26">
        <v>8</v>
      </c>
      <c r="L22" s="26">
        <v>0</v>
      </c>
      <c r="T22" s="44"/>
      <c r="U22" s="44"/>
      <c r="AB22" s="39">
        <v>11</v>
      </c>
      <c r="AC22" s="58" t="s">
        <v>143</v>
      </c>
      <c r="AD22" s="17" t="s">
        <v>231</v>
      </c>
      <c r="AE22" s="12">
        <v>2</v>
      </c>
    </row>
    <row r="23" customHeight="1" spans="4:31">
      <c r="D23" s="1">
        <f>SUM(D11:D22)/2</f>
        <v>9</v>
      </c>
      <c r="E23" s="1">
        <f>SUM(E11:E22)</f>
        <v>9</v>
      </c>
      <c r="F23" s="1">
        <f>SUM(F11:F22)/2</f>
        <v>0</v>
      </c>
      <c r="G23" s="1">
        <f>SUM(G11:G22)</f>
        <v>9</v>
      </c>
      <c r="H23" s="1">
        <f>SUM(H11:H22)</f>
        <v>65</v>
      </c>
      <c r="I23" s="1">
        <f>SUM(I11:I22)</f>
        <v>65</v>
      </c>
      <c r="T23" s="44"/>
      <c r="U23" s="44"/>
      <c r="AB23" s="39">
        <v>12</v>
      </c>
      <c r="AC23" s="58" t="s">
        <v>167</v>
      </c>
      <c r="AD23" s="17" t="s">
        <v>9</v>
      </c>
      <c r="AE23" s="12">
        <v>2</v>
      </c>
    </row>
    <row r="24" customHeight="1" spans="2:31">
      <c r="B24" s="29"/>
      <c r="C24" s="1" t="s">
        <v>153</v>
      </c>
      <c r="T24" s="44"/>
      <c r="U24" s="44"/>
      <c r="AB24" s="39">
        <v>13</v>
      </c>
      <c r="AC24" s="58" t="s">
        <v>168</v>
      </c>
      <c r="AD24" s="17" t="s">
        <v>231</v>
      </c>
      <c r="AE24" s="12">
        <v>2</v>
      </c>
    </row>
    <row r="25" customHeight="1" spans="28:31">
      <c r="AB25" s="39">
        <v>14</v>
      </c>
      <c r="AC25" s="58" t="s">
        <v>169</v>
      </c>
      <c r="AD25" s="17" t="s">
        <v>229</v>
      </c>
      <c r="AE25" s="12">
        <v>2</v>
      </c>
    </row>
    <row r="26" customHeight="1" spans="2:31">
      <c r="B26" s="30"/>
      <c r="C26" s="30"/>
      <c r="D26" s="30"/>
      <c r="E26" s="30"/>
      <c r="F26" s="30"/>
      <c r="G26" s="30"/>
      <c r="H26" s="30"/>
      <c r="I26" s="30"/>
      <c r="J26" s="42"/>
      <c r="K26" s="42"/>
      <c r="L26" s="30"/>
      <c r="AB26" s="39">
        <v>15</v>
      </c>
      <c r="AC26" s="41" t="s">
        <v>151</v>
      </c>
      <c r="AD26" s="51" t="s">
        <v>6</v>
      </c>
      <c r="AE26" s="20">
        <v>2</v>
      </c>
    </row>
    <row r="27" customHeight="1" spans="2:31">
      <c r="B27" s="30"/>
      <c r="C27" s="30"/>
      <c r="D27" s="30"/>
      <c r="E27" s="30"/>
      <c r="F27" s="30"/>
      <c r="G27" s="30"/>
      <c r="H27" s="30"/>
      <c r="I27" s="30"/>
      <c r="J27" s="42"/>
      <c r="K27" s="42"/>
      <c r="L27" s="30"/>
      <c r="AB27" s="39">
        <v>16</v>
      </c>
      <c r="AC27" s="58" t="s">
        <v>170</v>
      </c>
      <c r="AD27" s="17" t="s">
        <v>11</v>
      </c>
      <c r="AE27" s="12">
        <v>1</v>
      </c>
    </row>
    <row r="28" customHeight="1" spans="2:31">
      <c r="B28" s="30"/>
      <c r="C28" s="30"/>
      <c r="D28" s="30"/>
      <c r="E28" s="30"/>
      <c r="F28" s="30"/>
      <c r="G28" s="30"/>
      <c r="H28" s="30"/>
      <c r="I28" s="30"/>
      <c r="J28" s="42"/>
      <c r="K28" s="42"/>
      <c r="L28" s="30"/>
      <c r="AB28" s="39">
        <v>17</v>
      </c>
      <c r="AC28" s="58" t="s">
        <v>156</v>
      </c>
      <c r="AD28" s="17" t="s">
        <v>11</v>
      </c>
      <c r="AE28" s="12">
        <v>1</v>
      </c>
    </row>
    <row r="29" customHeight="1" spans="2:31">
      <c r="B29" s="30"/>
      <c r="C29" s="30"/>
      <c r="D29" s="30"/>
      <c r="E29" s="30"/>
      <c r="F29" s="30"/>
      <c r="G29" s="30"/>
      <c r="H29" s="30"/>
      <c r="I29" s="30"/>
      <c r="J29" s="42"/>
      <c r="K29" s="42"/>
      <c r="L29" s="30"/>
      <c r="AB29" s="39">
        <v>18</v>
      </c>
      <c r="AC29" s="58" t="s">
        <v>178</v>
      </c>
      <c r="AD29" s="17" t="s">
        <v>11</v>
      </c>
      <c r="AE29" s="12">
        <v>1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8" t="s">
        <v>179</v>
      </c>
      <c r="AD30" s="17" t="s">
        <v>11</v>
      </c>
      <c r="AE30" s="12">
        <v>1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162</v>
      </c>
      <c r="AD31" s="17" t="s">
        <v>10</v>
      </c>
      <c r="AE31" s="12">
        <v>1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180</v>
      </c>
      <c r="AD32" s="17" t="s">
        <v>10</v>
      </c>
      <c r="AE32" s="12">
        <v>1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58" t="s">
        <v>176</v>
      </c>
      <c r="AD33" s="17" t="s">
        <v>9</v>
      </c>
      <c r="AE33" s="12">
        <v>1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171</v>
      </c>
      <c r="AD34" s="17" t="s">
        <v>9</v>
      </c>
      <c r="AE34" s="12">
        <v>1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155</v>
      </c>
      <c r="AD35" s="17" t="s">
        <v>9</v>
      </c>
      <c r="AE35" s="12">
        <v>1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181</v>
      </c>
      <c r="AD36" s="17" t="s">
        <v>229</v>
      </c>
      <c r="AE36" s="12">
        <v>1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58" t="s">
        <v>182</v>
      </c>
      <c r="AD37" s="17" t="s">
        <v>229</v>
      </c>
      <c r="AE37" s="12">
        <v>1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58" t="s">
        <v>147</v>
      </c>
      <c r="AD38" s="17" t="s">
        <v>9</v>
      </c>
      <c r="AE38" s="12">
        <v>1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183</v>
      </c>
      <c r="AD39" s="17" t="s">
        <v>6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185</v>
      </c>
      <c r="AD40" s="17" t="s">
        <v>13</v>
      </c>
      <c r="AE40" s="12">
        <v>1</v>
      </c>
    </row>
    <row r="41" customHeight="1" spans="2:31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  <c r="AB41" s="39">
        <v>30</v>
      </c>
      <c r="AC41" s="58" t="s">
        <v>186</v>
      </c>
      <c r="AD41" s="17" t="s">
        <v>13</v>
      </c>
      <c r="AE41" s="12">
        <v>1</v>
      </c>
    </row>
    <row r="42" customHeight="1" spans="1:31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  <c r="AB42" s="39">
        <v>31</v>
      </c>
      <c r="AC42" s="58" t="s">
        <v>187</v>
      </c>
      <c r="AD42" s="17" t="s">
        <v>13</v>
      </c>
      <c r="AE42" s="12">
        <v>1</v>
      </c>
    </row>
    <row r="43" customHeight="1" spans="2:31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  <c r="AB43" s="39">
        <v>32</v>
      </c>
      <c r="AC43" s="58" t="s">
        <v>188</v>
      </c>
      <c r="AD43" s="17" t="s">
        <v>231</v>
      </c>
      <c r="AE43" s="12">
        <v>1</v>
      </c>
    </row>
    <row r="44" customHeight="1" spans="2:31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  <c r="AB44" s="39">
        <v>33</v>
      </c>
      <c r="AC44" s="58" t="s">
        <v>177</v>
      </c>
      <c r="AD44" s="17" t="s">
        <v>231</v>
      </c>
      <c r="AE44" s="12">
        <v>1</v>
      </c>
    </row>
    <row r="45" customHeight="1" spans="2:31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  <c r="AB45" s="39">
        <v>34</v>
      </c>
      <c r="AC45" s="58" t="s">
        <v>189</v>
      </c>
      <c r="AD45" s="17" t="s">
        <v>229</v>
      </c>
      <c r="AE45" s="12">
        <v>1</v>
      </c>
    </row>
    <row r="46" customHeight="1" spans="2:31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  <c r="AB46" s="39">
        <v>35</v>
      </c>
      <c r="AC46" s="58" t="s">
        <v>190</v>
      </c>
      <c r="AD46" s="17" t="s">
        <v>229</v>
      </c>
      <c r="AE46" s="12">
        <v>1</v>
      </c>
    </row>
    <row r="47" customHeight="1" spans="2:31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  <c r="AB47" s="39">
        <v>36</v>
      </c>
      <c r="AC47" s="61">
        <v>27</v>
      </c>
      <c r="AD47" s="17" t="s">
        <v>229</v>
      </c>
      <c r="AE47" s="12">
        <v>1</v>
      </c>
    </row>
    <row r="48" customHeight="1" spans="2:31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  <c r="AB48" s="39">
        <v>37</v>
      </c>
      <c r="AC48" s="61">
        <v>10</v>
      </c>
      <c r="AD48" s="17" t="s">
        <v>24</v>
      </c>
      <c r="AE48" s="12">
        <v>1</v>
      </c>
    </row>
    <row r="49" customHeight="1" spans="2:31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  <c r="AB49" s="39">
        <v>38</v>
      </c>
      <c r="AC49" s="61">
        <v>7</v>
      </c>
      <c r="AD49" s="17" t="s">
        <v>24</v>
      </c>
      <c r="AE49" s="12">
        <v>1</v>
      </c>
    </row>
    <row r="50" customHeight="1" spans="2:31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  <c r="AB50" s="39">
        <v>39</v>
      </c>
      <c r="AC50" s="58" t="s">
        <v>160</v>
      </c>
      <c r="AD50" s="17" t="s">
        <v>14</v>
      </c>
      <c r="AE50" s="12">
        <v>1</v>
      </c>
    </row>
    <row r="51" customHeight="1" spans="2:31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  <c r="AB51" s="39">
        <v>40</v>
      </c>
      <c r="AC51" s="58" t="s">
        <v>192</v>
      </c>
      <c r="AD51" s="17" t="s">
        <v>14</v>
      </c>
      <c r="AE51" s="12">
        <v>1</v>
      </c>
    </row>
    <row r="52" customHeight="1" spans="2:13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O53" s="1" t="s">
        <v>184</v>
      </c>
    </row>
    <row r="54" customHeight="1" spans="2:13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</row>
    <row r="55" customHeight="1" spans="2:13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</row>
    <row r="56" customHeight="1" spans="2:13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</row>
    <row r="57" customHeight="1" spans="2:13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</row>
    <row r="58" customHeight="1" spans="2:13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</row>
    <row r="59" customHeight="1" spans="2:13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</row>
    <row r="60" customHeight="1" spans="2:13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</row>
    <row r="61" customHeight="1" spans="2:13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2:13">
      <c r="B106" s="30"/>
      <c r="C106" s="30"/>
      <c r="D106" s="30"/>
      <c r="E106" s="30"/>
      <c r="F106" s="30"/>
      <c r="G106" s="30"/>
      <c r="H106" s="30"/>
      <c r="I106" s="30"/>
      <c r="J106" s="42"/>
      <c r="K106" s="42"/>
      <c r="L106" s="30"/>
      <c r="M106" s="30"/>
    </row>
    <row r="107" customHeight="1" spans="2:13">
      <c r="B107" s="30"/>
      <c r="C107" s="30"/>
      <c r="D107" s="30"/>
      <c r="E107" s="30"/>
      <c r="F107" s="30"/>
      <c r="G107" s="30"/>
      <c r="H107" s="30"/>
      <c r="I107" s="30"/>
      <c r="J107" s="42"/>
      <c r="K107" s="42"/>
      <c r="L107" s="30"/>
      <c r="M107" s="30"/>
    </row>
    <row r="108" customHeight="1" spans="2:13">
      <c r="B108" s="30"/>
      <c r="C108" s="30"/>
      <c r="D108" s="30"/>
      <c r="E108" s="30"/>
      <c r="F108" s="30"/>
      <c r="G108" s="30"/>
      <c r="H108" s="30"/>
      <c r="I108" s="30"/>
      <c r="J108" s="42"/>
      <c r="K108" s="42"/>
      <c r="L108" s="30"/>
      <c r="M108" s="30"/>
    </row>
    <row r="109" customHeight="1" spans="13:13">
      <c r="M109" s="30"/>
    </row>
    <row r="110" customHeight="1" spans="13:13">
      <c r="M110" s="30"/>
    </row>
    <row r="111" customHeight="1" spans="13:13">
      <c r="M111" s="30"/>
    </row>
    <row r="112" customHeight="1" spans="13:13"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7"/>
  <dimension ref="A4:AO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233</v>
      </c>
      <c r="Q10" s="45"/>
      <c r="R10" s="45"/>
      <c r="S10" s="46"/>
      <c r="T10" s="44"/>
      <c r="U10" s="44"/>
      <c r="W10" s="47" t="s">
        <v>233</v>
      </c>
      <c r="X10" s="48"/>
      <c r="Y10" s="54"/>
      <c r="Z10" s="44"/>
      <c r="AA10" s="44"/>
      <c r="AC10" s="47" t="s">
        <v>233</v>
      </c>
      <c r="AD10" s="48"/>
      <c r="AE10" s="54"/>
    </row>
    <row r="11" customHeight="1" spans="1:35">
      <c r="A11" s="9"/>
      <c r="B11" s="10">
        <v>1</v>
      </c>
      <c r="C11" s="11" t="s">
        <v>9</v>
      </c>
      <c r="D11" s="12">
        <v>2</v>
      </c>
      <c r="E11" s="12">
        <v>2</v>
      </c>
      <c r="F11" s="12">
        <v>0</v>
      </c>
      <c r="G11" s="13">
        <v>0</v>
      </c>
      <c r="H11" s="14">
        <v>13</v>
      </c>
      <c r="I11" s="14">
        <v>5</v>
      </c>
      <c r="J11" s="14">
        <v>8</v>
      </c>
      <c r="K11" s="37">
        <v>2.5</v>
      </c>
      <c r="L11" s="14">
        <v>6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SUBTOTAL(9,Tabla3678910111213141557[GOLES])</f>
        <v>48</v>
      </c>
      <c r="AI11" s="60">
        <f>H27</f>
        <v>48</v>
      </c>
    </row>
    <row r="12" customHeight="1" spans="2:31">
      <c r="B12" s="15">
        <v>2</v>
      </c>
      <c r="C12" s="11" t="s">
        <v>11</v>
      </c>
      <c r="D12" s="12">
        <v>2</v>
      </c>
      <c r="E12" s="12">
        <v>2</v>
      </c>
      <c r="F12" s="12">
        <v>0</v>
      </c>
      <c r="G12" s="13">
        <v>0</v>
      </c>
      <c r="H12" s="14">
        <v>9</v>
      </c>
      <c r="I12" s="14">
        <v>5</v>
      </c>
      <c r="J12" s="14">
        <v>4</v>
      </c>
      <c r="K12" s="14">
        <v>2.5</v>
      </c>
      <c r="L12" s="14">
        <v>6</v>
      </c>
      <c r="O12" s="39">
        <v>1</v>
      </c>
      <c r="P12" s="41" t="s">
        <v>231</v>
      </c>
      <c r="Q12" s="16">
        <v>5</v>
      </c>
      <c r="R12" s="50" t="s">
        <v>13</v>
      </c>
      <c r="S12" s="16">
        <v>3</v>
      </c>
      <c r="T12" s="44"/>
      <c r="U12" s="44"/>
      <c r="V12" s="39">
        <v>1</v>
      </c>
      <c r="W12" s="41" t="s">
        <v>221</v>
      </c>
      <c r="X12" s="51"/>
      <c r="Y12" s="16"/>
      <c r="Z12" s="44"/>
      <c r="AA12" s="44"/>
      <c r="AB12" s="39">
        <v>1</v>
      </c>
      <c r="AC12" s="57" t="s">
        <v>146</v>
      </c>
      <c r="AD12" s="51" t="s">
        <v>10</v>
      </c>
      <c r="AE12" s="20">
        <v>4</v>
      </c>
    </row>
    <row r="13" customHeight="1" spans="2:31">
      <c r="B13" s="15">
        <v>3</v>
      </c>
      <c r="C13" s="11" t="s">
        <v>23</v>
      </c>
      <c r="D13" s="12">
        <v>3</v>
      </c>
      <c r="E13" s="12">
        <v>1</v>
      </c>
      <c r="F13" s="12">
        <v>0</v>
      </c>
      <c r="G13" s="13">
        <v>2</v>
      </c>
      <c r="H13" s="16">
        <v>9</v>
      </c>
      <c r="I13" s="14">
        <v>8</v>
      </c>
      <c r="J13" s="14">
        <v>1</v>
      </c>
      <c r="K13" s="14">
        <v>2.66666666666667</v>
      </c>
      <c r="L13" s="14">
        <v>3</v>
      </c>
      <c r="O13" s="39">
        <v>2</v>
      </c>
      <c r="P13" s="40" t="s">
        <v>9</v>
      </c>
      <c r="Q13" s="16">
        <v>5</v>
      </c>
      <c r="R13" s="41" t="s">
        <v>6</v>
      </c>
      <c r="S13" s="13">
        <v>1</v>
      </c>
      <c r="T13" s="44"/>
      <c r="U13" s="44"/>
      <c r="Z13" s="44"/>
      <c r="AA13" s="44"/>
      <c r="AB13" s="39">
        <v>2</v>
      </c>
      <c r="AC13" s="58" t="s">
        <v>145</v>
      </c>
      <c r="AD13" s="17" t="s">
        <v>9</v>
      </c>
      <c r="AE13" s="12">
        <v>4</v>
      </c>
    </row>
    <row r="14" customHeight="1" spans="2:31">
      <c r="B14" s="10">
        <v>4</v>
      </c>
      <c r="C14" s="11" t="s">
        <v>231</v>
      </c>
      <c r="D14" s="12">
        <v>2</v>
      </c>
      <c r="E14" s="12">
        <v>1</v>
      </c>
      <c r="F14" s="12">
        <v>0</v>
      </c>
      <c r="G14" s="13">
        <v>1</v>
      </c>
      <c r="H14" s="14">
        <v>9</v>
      </c>
      <c r="I14" s="14">
        <v>11</v>
      </c>
      <c r="J14" s="14">
        <v>-2</v>
      </c>
      <c r="K14" s="14">
        <v>5.5</v>
      </c>
      <c r="L14" s="14">
        <v>3</v>
      </c>
      <c r="O14" s="39">
        <v>3</v>
      </c>
      <c r="P14" s="40" t="s">
        <v>234</v>
      </c>
      <c r="Q14" s="16">
        <v>3</v>
      </c>
      <c r="R14" s="41" t="s">
        <v>10</v>
      </c>
      <c r="S14" s="16">
        <v>2</v>
      </c>
      <c r="T14" s="44"/>
      <c r="U14" s="44"/>
      <c r="Z14" s="44"/>
      <c r="AA14" s="44"/>
      <c r="AB14" s="39">
        <v>3</v>
      </c>
      <c r="AC14" s="58" t="s">
        <v>148</v>
      </c>
      <c r="AD14" s="17" t="s">
        <v>10</v>
      </c>
      <c r="AE14" s="12">
        <v>3</v>
      </c>
    </row>
    <row r="15" customHeight="1" spans="2:31">
      <c r="B15" s="10">
        <v>5</v>
      </c>
      <c r="C15" s="17" t="s">
        <v>234</v>
      </c>
      <c r="D15" s="12">
        <v>2</v>
      </c>
      <c r="E15" s="12">
        <v>1</v>
      </c>
      <c r="F15" s="12">
        <v>0</v>
      </c>
      <c r="G15" s="13">
        <v>1</v>
      </c>
      <c r="H15" s="14">
        <v>4</v>
      </c>
      <c r="I15" s="14">
        <v>6</v>
      </c>
      <c r="J15" s="14">
        <v>-2</v>
      </c>
      <c r="K15" s="14">
        <v>3</v>
      </c>
      <c r="L15" s="14">
        <v>3</v>
      </c>
      <c r="T15" s="44"/>
      <c r="U15" s="44"/>
      <c r="Z15" s="44"/>
      <c r="AA15" s="44"/>
      <c r="AB15" s="39">
        <v>4</v>
      </c>
      <c r="AC15" s="58" t="s">
        <v>157</v>
      </c>
      <c r="AD15" s="17" t="s">
        <v>11</v>
      </c>
      <c r="AE15" s="12">
        <v>3</v>
      </c>
    </row>
    <row r="16" customHeight="1" spans="2:31">
      <c r="B16" s="18">
        <v>6</v>
      </c>
      <c r="C16" s="19" t="s">
        <v>235</v>
      </c>
      <c r="D16" s="20">
        <v>0</v>
      </c>
      <c r="E16" s="20">
        <v>0</v>
      </c>
      <c r="F16" s="20">
        <v>0</v>
      </c>
      <c r="G16" s="16">
        <v>0</v>
      </c>
      <c r="H16" s="21">
        <v>0</v>
      </c>
      <c r="I16" s="21">
        <v>0</v>
      </c>
      <c r="J16" s="21">
        <v>0</v>
      </c>
      <c r="K16" s="21" t="s">
        <v>228</v>
      </c>
      <c r="L16" s="21">
        <v>0</v>
      </c>
      <c r="T16" s="44"/>
      <c r="U16" s="44"/>
      <c r="Z16" s="44"/>
      <c r="AA16" s="44"/>
      <c r="AB16" s="39">
        <v>5</v>
      </c>
      <c r="AC16" s="58" t="s">
        <v>154</v>
      </c>
      <c r="AD16" s="17" t="s">
        <v>9</v>
      </c>
      <c r="AE16" s="12">
        <v>3</v>
      </c>
    </row>
    <row r="17" customHeight="1" spans="2:31">
      <c r="B17" s="22">
        <v>7</v>
      </c>
      <c r="C17" s="23" t="s">
        <v>236</v>
      </c>
      <c r="D17" s="24">
        <v>0</v>
      </c>
      <c r="E17" s="24">
        <v>0</v>
      </c>
      <c r="F17" s="24">
        <v>0</v>
      </c>
      <c r="G17" s="25">
        <v>0</v>
      </c>
      <c r="H17" s="26">
        <v>0</v>
      </c>
      <c r="I17" s="26">
        <v>0</v>
      </c>
      <c r="J17" s="26">
        <v>0</v>
      </c>
      <c r="K17" s="26" t="s">
        <v>228</v>
      </c>
      <c r="L17" s="26">
        <v>0</v>
      </c>
      <c r="T17" s="44"/>
      <c r="U17" s="44"/>
      <c r="Z17" s="44"/>
      <c r="AA17" s="44"/>
      <c r="AB17" s="39">
        <v>6</v>
      </c>
      <c r="AC17" s="58" t="s">
        <v>152</v>
      </c>
      <c r="AD17" s="17" t="s">
        <v>231</v>
      </c>
      <c r="AE17" s="12">
        <v>3</v>
      </c>
    </row>
    <row r="18" customHeight="1" spans="2:31">
      <c r="B18" s="22">
        <v>8</v>
      </c>
      <c r="C18" s="23" t="s">
        <v>232</v>
      </c>
      <c r="D18" s="24">
        <v>0</v>
      </c>
      <c r="E18" s="24">
        <v>0</v>
      </c>
      <c r="F18" s="24">
        <v>0</v>
      </c>
      <c r="G18" s="25">
        <v>0</v>
      </c>
      <c r="H18" s="26">
        <v>0</v>
      </c>
      <c r="I18" s="26">
        <v>0</v>
      </c>
      <c r="J18" s="26">
        <v>0</v>
      </c>
      <c r="K18" s="26" t="s">
        <v>228</v>
      </c>
      <c r="L18" s="26">
        <v>0</v>
      </c>
      <c r="T18" s="44"/>
      <c r="U18" s="44"/>
      <c r="Z18" s="44"/>
      <c r="AA18" s="44"/>
      <c r="AB18" s="39">
        <v>7</v>
      </c>
      <c r="AC18" s="58" t="s">
        <v>219</v>
      </c>
      <c r="AD18" s="17" t="s">
        <v>11</v>
      </c>
      <c r="AE18" s="12">
        <v>2</v>
      </c>
    </row>
    <row r="19" customHeight="1" spans="2:31">
      <c r="B19" s="27">
        <v>9</v>
      </c>
      <c r="C19" s="23" t="s">
        <v>14</v>
      </c>
      <c r="D19" s="24">
        <v>0</v>
      </c>
      <c r="E19" s="24">
        <v>0</v>
      </c>
      <c r="F19" s="24">
        <v>0</v>
      </c>
      <c r="G19" s="25">
        <v>0</v>
      </c>
      <c r="H19" s="26">
        <v>0</v>
      </c>
      <c r="I19" s="26">
        <v>0</v>
      </c>
      <c r="J19" s="26">
        <v>0</v>
      </c>
      <c r="K19" s="26" t="s">
        <v>228</v>
      </c>
      <c r="L19" s="26">
        <v>0</v>
      </c>
      <c r="T19" s="44"/>
      <c r="U19" s="44"/>
      <c r="AB19" s="39">
        <v>8</v>
      </c>
      <c r="AC19" s="58" t="s">
        <v>166</v>
      </c>
      <c r="AD19" s="17" t="s">
        <v>234</v>
      </c>
      <c r="AE19" s="12">
        <v>2</v>
      </c>
    </row>
    <row r="20" customHeight="1" spans="2:31">
      <c r="B20" s="16">
        <v>10</v>
      </c>
      <c r="C20" s="28" t="s">
        <v>13</v>
      </c>
      <c r="D20" s="24">
        <v>1</v>
      </c>
      <c r="E20" s="24">
        <v>0</v>
      </c>
      <c r="F20" s="24">
        <v>0</v>
      </c>
      <c r="G20" s="25">
        <v>1</v>
      </c>
      <c r="H20" s="26">
        <v>3</v>
      </c>
      <c r="I20" s="26">
        <v>5</v>
      </c>
      <c r="J20" s="26">
        <v>-2</v>
      </c>
      <c r="K20" s="26">
        <v>5</v>
      </c>
      <c r="L20" s="26">
        <v>0</v>
      </c>
      <c r="T20" s="44"/>
      <c r="U20" s="44"/>
      <c r="AB20" s="39">
        <v>9</v>
      </c>
      <c r="AC20" s="58" t="s">
        <v>143</v>
      </c>
      <c r="AD20" s="17" t="s">
        <v>231</v>
      </c>
      <c r="AE20" s="12">
        <v>2</v>
      </c>
    </row>
    <row r="21" customHeight="1" spans="2:31">
      <c r="B21" s="25">
        <v>11</v>
      </c>
      <c r="C21" s="28" t="s">
        <v>6</v>
      </c>
      <c r="D21" s="24">
        <v>2</v>
      </c>
      <c r="E21" s="24">
        <v>0</v>
      </c>
      <c r="F21" s="24">
        <v>0</v>
      </c>
      <c r="G21" s="25">
        <v>2</v>
      </c>
      <c r="H21" s="26">
        <v>1</v>
      </c>
      <c r="I21" s="26">
        <v>8</v>
      </c>
      <c r="J21" s="26">
        <v>-7</v>
      </c>
      <c r="K21" s="26">
        <v>4</v>
      </c>
      <c r="L21" s="26">
        <v>0</v>
      </c>
      <c r="T21" s="44"/>
      <c r="U21" s="44"/>
      <c r="AB21" s="39">
        <v>10</v>
      </c>
      <c r="AC21" s="58" t="s">
        <v>167</v>
      </c>
      <c r="AD21" s="17" t="s">
        <v>9</v>
      </c>
      <c r="AE21" s="12">
        <v>2</v>
      </c>
    </row>
    <row r="22" customHeight="1" spans="2:31">
      <c r="B22" s="25">
        <v>12</v>
      </c>
      <c r="C22" s="28"/>
      <c r="D22" s="24"/>
      <c r="E22" s="24"/>
      <c r="F22" s="24"/>
      <c r="G22" s="25"/>
      <c r="H22" s="26"/>
      <c r="I22" s="26"/>
      <c r="J22" s="26"/>
      <c r="K22" s="26"/>
      <c r="L22" s="26"/>
      <c r="T22" s="44"/>
      <c r="U22" s="44"/>
      <c r="AB22" s="39">
        <v>11</v>
      </c>
      <c r="AC22" s="58" t="s">
        <v>168</v>
      </c>
      <c r="AD22" s="17" t="s">
        <v>231</v>
      </c>
      <c r="AE22" s="12">
        <v>2</v>
      </c>
    </row>
    <row r="23" customHeight="1" spans="2:31">
      <c r="B23" s="25">
        <v>13</v>
      </c>
      <c r="C23" s="28"/>
      <c r="D23" s="24"/>
      <c r="E23" s="24"/>
      <c r="F23" s="24"/>
      <c r="G23" s="25"/>
      <c r="H23" s="26"/>
      <c r="I23" s="26"/>
      <c r="J23" s="26"/>
      <c r="K23" s="26"/>
      <c r="L23" s="26"/>
      <c r="T23" s="44"/>
      <c r="U23" s="44"/>
      <c r="AB23" s="39">
        <v>12</v>
      </c>
      <c r="AC23" s="58" t="s">
        <v>170</v>
      </c>
      <c r="AD23" s="17" t="s">
        <v>11</v>
      </c>
      <c r="AE23" s="12">
        <v>1</v>
      </c>
    </row>
    <row r="24" customHeight="1" spans="2:31">
      <c r="B24" s="25">
        <v>14</v>
      </c>
      <c r="C24" s="28"/>
      <c r="D24" s="24"/>
      <c r="E24" s="24"/>
      <c r="F24" s="24"/>
      <c r="G24" s="25"/>
      <c r="H24" s="26"/>
      <c r="I24" s="26"/>
      <c r="J24" s="26"/>
      <c r="K24" s="26"/>
      <c r="L24" s="26"/>
      <c r="T24" s="44"/>
      <c r="U24" s="44"/>
      <c r="AB24" s="39">
        <v>13</v>
      </c>
      <c r="AC24" s="58" t="s">
        <v>156</v>
      </c>
      <c r="AD24" s="17" t="s">
        <v>11</v>
      </c>
      <c r="AE24" s="12">
        <v>1</v>
      </c>
    </row>
    <row r="25" customHeight="1" spans="2:31">
      <c r="B25" s="25">
        <v>15</v>
      </c>
      <c r="C25" s="28"/>
      <c r="D25" s="24"/>
      <c r="E25" s="24"/>
      <c r="F25" s="24"/>
      <c r="G25" s="25"/>
      <c r="H25" s="26"/>
      <c r="I25" s="26"/>
      <c r="J25" s="26"/>
      <c r="K25" s="26"/>
      <c r="L25" s="26"/>
      <c r="AB25" s="39">
        <v>14</v>
      </c>
      <c r="AC25" s="58" t="s">
        <v>178</v>
      </c>
      <c r="AD25" s="17" t="s">
        <v>11</v>
      </c>
      <c r="AE25" s="12">
        <v>1</v>
      </c>
    </row>
    <row r="26" customHeight="1" spans="2:31">
      <c r="B26" s="25">
        <v>16</v>
      </c>
      <c r="C26" s="28"/>
      <c r="D26" s="24"/>
      <c r="E26" s="24"/>
      <c r="F26" s="24"/>
      <c r="G26" s="25"/>
      <c r="H26" s="26"/>
      <c r="I26" s="26"/>
      <c r="J26" s="26"/>
      <c r="K26" s="26"/>
      <c r="L26" s="26"/>
      <c r="AB26" s="39">
        <v>15</v>
      </c>
      <c r="AC26" s="58" t="s">
        <v>179</v>
      </c>
      <c r="AD26" s="17" t="s">
        <v>11</v>
      </c>
      <c r="AE26" s="12">
        <v>1</v>
      </c>
    </row>
    <row r="27" customHeight="1" spans="4:31">
      <c r="D27" s="1">
        <f>SUM(D11:D26)/2</f>
        <v>7</v>
      </c>
      <c r="E27" s="1">
        <f>SUM(E11:E26)</f>
        <v>7</v>
      </c>
      <c r="F27" s="1">
        <f>SUM(F11:F26)/2</f>
        <v>0</v>
      </c>
      <c r="G27" s="1">
        <f>SUM(G11:G26)</f>
        <v>7</v>
      </c>
      <c r="H27" s="1">
        <f>SUM(H11:H26)</f>
        <v>48</v>
      </c>
      <c r="I27" s="1">
        <f>SUM(I11:I26)</f>
        <v>48</v>
      </c>
      <c r="AB27" s="39">
        <v>16</v>
      </c>
      <c r="AC27" s="58" t="s">
        <v>162</v>
      </c>
      <c r="AD27" s="17" t="s">
        <v>10</v>
      </c>
      <c r="AE27" s="12">
        <v>1</v>
      </c>
    </row>
    <row r="28" customHeight="1" spans="2:31">
      <c r="B28" s="29"/>
      <c r="C28" s="1" t="s">
        <v>153</v>
      </c>
      <c r="AB28" s="39">
        <v>17</v>
      </c>
      <c r="AC28" s="58" t="s">
        <v>180</v>
      </c>
      <c r="AD28" s="17" t="s">
        <v>10</v>
      </c>
      <c r="AE28" s="12">
        <v>1</v>
      </c>
    </row>
    <row r="29" customHeight="1" spans="28:31">
      <c r="AB29" s="39">
        <v>18</v>
      </c>
      <c r="AC29" s="58" t="s">
        <v>176</v>
      </c>
      <c r="AD29" s="17" t="s">
        <v>9</v>
      </c>
      <c r="AE29" s="12">
        <v>1</v>
      </c>
    </row>
    <row r="30" customHeight="1" spans="2:31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  <c r="AB30" s="39">
        <v>19</v>
      </c>
      <c r="AC30" s="58" t="s">
        <v>171</v>
      </c>
      <c r="AD30" s="17" t="s">
        <v>9</v>
      </c>
      <c r="AE30" s="12">
        <v>1</v>
      </c>
    </row>
    <row r="31" customHeight="1" spans="2:31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  <c r="AB31" s="39">
        <v>20</v>
      </c>
      <c r="AC31" s="58" t="s">
        <v>155</v>
      </c>
      <c r="AD31" s="17" t="s">
        <v>9</v>
      </c>
      <c r="AE31" s="12">
        <v>1</v>
      </c>
    </row>
    <row r="32" customHeight="1" spans="2:31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  <c r="AB32" s="39">
        <v>21</v>
      </c>
      <c r="AC32" s="58" t="s">
        <v>181</v>
      </c>
      <c r="AD32" s="17" t="s">
        <v>234</v>
      </c>
      <c r="AE32" s="12">
        <v>1</v>
      </c>
    </row>
    <row r="33" customHeight="1" spans="2:31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  <c r="AB33" s="39">
        <v>22</v>
      </c>
      <c r="AC33" s="58" t="s">
        <v>182</v>
      </c>
      <c r="AD33" s="17" t="s">
        <v>234</v>
      </c>
      <c r="AE33" s="12">
        <v>1</v>
      </c>
    </row>
    <row r="34" customHeight="1" spans="2:31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  <c r="AB34" s="39">
        <v>23</v>
      </c>
      <c r="AC34" s="58" t="s">
        <v>147</v>
      </c>
      <c r="AD34" s="17" t="s">
        <v>9</v>
      </c>
      <c r="AE34" s="12">
        <v>1</v>
      </c>
    </row>
    <row r="35" customHeight="1" spans="2:31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  <c r="AB35" s="39">
        <v>24</v>
      </c>
      <c r="AC35" s="58" t="s">
        <v>183</v>
      </c>
      <c r="AD35" s="17" t="s">
        <v>6</v>
      </c>
      <c r="AE35" s="12">
        <v>1</v>
      </c>
    </row>
    <row r="36" customHeight="1" spans="2:31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  <c r="AB36" s="39">
        <v>25</v>
      </c>
      <c r="AC36" s="58" t="s">
        <v>185</v>
      </c>
      <c r="AD36" s="17" t="s">
        <v>13</v>
      </c>
      <c r="AE36" s="12">
        <v>1</v>
      </c>
    </row>
    <row r="37" customHeight="1" spans="2:31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  <c r="AB37" s="39">
        <v>26</v>
      </c>
      <c r="AC37" s="58" t="s">
        <v>186</v>
      </c>
      <c r="AD37" s="17" t="s">
        <v>13</v>
      </c>
      <c r="AE37" s="12">
        <v>1</v>
      </c>
    </row>
    <row r="38" customHeight="1" spans="2:31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  <c r="AB38" s="39">
        <v>27</v>
      </c>
      <c r="AC38" s="58" t="s">
        <v>187</v>
      </c>
      <c r="AD38" s="17" t="s">
        <v>13</v>
      </c>
      <c r="AE38" s="12">
        <v>1</v>
      </c>
    </row>
    <row r="39" customHeight="1" spans="2:31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  <c r="AB39" s="39">
        <v>28</v>
      </c>
      <c r="AC39" s="58" t="s">
        <v>188</v>
      </c>
      <c r="AD39" s="17" t="s">
        <v>231</v>
      </c>
      <c r="AE39" s="12">
        <v>1</v>
      </c>
    </row>
    <row r="40" customHeight="1" spans="2:31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  <c r="AB40" s="39">
        <v>29</v>
      </c>
      <c r="AC40" s="58" t="s">
        <v>177</v>
      </c>
      <c r="AD40" s="17" t="s">
        <v>231</v>
      </c>
      <c r="AE40" s="12">
        <v>1</v>
      </c>
    </row>
    <row r="41" customHeight="1" spans="2:13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</row>
    <row r="42" customHeight="1" spans="1:13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</row>
    <row r="43" customHeight="1" spans="2:13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</row>
    <row r="44" customHeight="1" spans="2:13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</row>
    <row r="45" customHeight="1" spans="2:13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</row>
    <row r="46" customHeight="1" spans="2:13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</row>
    <row r="47" customHeight="1" spans="2:13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</row>
    <row r="48" customHeight="1" spans="2:13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</row>
    <row r="49" customHeight="1" spans="2:13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</row>
    <row r="50" customHeight="1" spans="2:13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</row>
    <row r="51" customHeight="1" spans="2:13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</row>
    <row r="52" customHeight="1" spans="2:13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</row>
    <row r="53" customHeight="1" spans="2:41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  <c r="AO53" s="1" t="s">
        <v>184</v>
      </c>
    </row>
    <row r="54" customHeight="1" spans="2:13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</row>
    <row r="55" customHeight="1" spans="2:13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</row>
    <row r="56" customHeight="1" spans="2:13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</row>
    <row r="57" customHeight="1" spans="2:13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</row>
    <row r="58" customHeight="1" spans="2:13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</row>
    <row r="59" customHeight="1" spans="2:13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</row>
    <row r="60" customHeight="1" spans="2:13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</row>
    <row r="61" customHeight="1" spans="2:13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2:13">
      <c r="B106" s="30"/>
      <c r="C106" s="30"/>
      <c r="D106" s="30"/>
      <c r="E106" s="30"/>
      <c r="F106" s="30"/>
      <c r="G106" s="30"/>
      <c r="H106" s="30"/>
      <c r="I106" s="30"/>
      <c r="J106" s="42"/>
      <c r="K106" s="42"/>
      <c r="L106" s="30"/>
      <c r="M106" s="30"/>
    </row>
    <row r="107" customHeight="1" spans="2:13">
      <c r="B107" s="30"/>
      <c r="C107" s="30"/>
      <c r="D107" s="30"/>
      <c r="E107" s="30"/>
      <c r="F107" s="30"/>
      <c r="G107" s="30"/>
      <c r="H107" s="30"/>
      <c r="I107" s="30"/>
      <c r="J107" s="42"/>
      <c r="K107" s="42"/>
      <c r="L107" s="30"/>
      <c r="M107" s="30"/>
    </row>
    <row r="108" customHeight="1" spans="2:13">
      <c r="B108" s="30"/>
      <c r="C108" s="30"/>
      <c r="D108" s="30"/>
      <c r="E108" s="30"/>
      <c r="F108" s="30"/>
      <c r="G108" s="30"/>
      <c r="H108" s="30"/>
      <c r="I108" s="30"/>
      <c r="J108" s="42"/>
      <c r="K108" s="42"/>
      <c r="L108" s="30"/>
      <c r="M108" s="30"/>
    </row>
    <row r="109" customHeight="1" spans="2:13">
      <c r="B109" s="30"/>
      <c r="C109" s="30"/>
      <c r="D109" s="30"/>
      <c r="E109" s="30"/>
      <c r="F109" s="30"/>
      <c r="G109" s="30"/>
      <c r="H109" s="30"/>
      <c r="I109" s="30"/>
      <c r="J109" s="42"/>
      <c r="K109" s="42"/>
      <c r="L109" s="30"/>
      <c r="M109" s="30"/>
    </row>
    <row r="110" customHeight="1" spans="2:13">
      <c r="B110" s="30"/>
      <c r="C110" s="30"/>
      <c r="D110" s="30"/>
      <c r="E110" s="30"/>
      <c r="F110" s="30"/>
      <c r="G110" s="30"/>
      <c r="H110" s="30"/>
      <c r="I110" s="30"/>
      <c r="J110" s="42"/>
      <c r="K110" s="42"/>
      <c r="L110" s="30"/>
      <c r="M110" s="30"/>
    </row>
    <row r="111" customHeight="1" spans="2:13">
      <c r="B111" s="30"/>
      <c r="C111" s="30"/>
      <c r="D111" s="30"/>
      <c r="E111" s="30"/>
      <c r="F111" s="30"/>
      <c r="G111" s="30"/>
      <c r="H111" s="30"/>
      <c r="I111" s="30"/>
      <c r="J111" s="42"/>
      <c r="K111" s="42"/>
      <c r="L111" s="30"/>
      <c r="M111" s="30"/>
    </row>
    <row r="112" customHeight="1" spans="2:13">
      <c r="B112" s="30"/>
      <c r="C112" s="30"/>
      <c r="D112" s="30"/>
      <c r="E112" s="30"/>
      <c r="F112" s="30"/>
      <c r="G112" s="30"/>
      <c r="H112" s="30"/>
      <c r="I112" s="30"/>
      <c r="J112" s="42"/>
      <c r="K112" s="42"/>
      <c r="L112" s="30"/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36"/>
  <dimension ref="A4:AI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237</v>
      </c>
      <c r="Q10" s="45"/>
      <c r="R10" s="45"/>
      <c r="S10" s="46"/>
      <c r="T10" s="44"/>
      <c r="U10" s="44"/>
      <c r="W10" s="47" t="s">
        <v>237</v>
      </c>
      <c r="X10" s="48"/>
      <c r="Y10" s="54"/>
      <c r="Z10" s="44"/>
      <c r="AA10" s="44"/>
      <c r="AC10" s="47" t="s">
        <v>237</v>
      </c>
      <c r="AD10" s="48"/>
      <c r="AE10" s="54"/>
    </row>
    <row r="11" customHeight="1" spans="1:35">
      <c r="A11" s="9"/>
      <c r="B11" s="10">
        <v>1</v>
      </c>
      <c r="C11" s="11" t="s">
        <v>11</v>
      </c>
      <c r="D11" s="12">
        <v>2</v>
      </c>
      <c r="E11" s="12">
        <v>2</v>
      </c>
      <c r="F11" s="12">
        <v>0</v>
      </c>
      <c r="G11" s="13">
        <v>0</v>
      </c>
      <c r="H11" s="14">
        <v>9</v>
      </c>
      <c r="I11" s="14">
        <v>5</v>
      </c>
      <c r="J11" s="14">
        <v>4</v>
      </c>
      <c r="K11" s="37">
        <v>2.5</v>
      </c>
      <c r="L11" s="14">
        <v>6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SUBTOTAL(9,Tabla367891011121314155[GOLES])</f>
        <v>29</v>
      </c>
      <c r="AI11" s="60">
        <f>H27</f>
        <v>29</v>
      </c>
    </row>
    <row r="12" customHeight="1" spans="2:31">
      <c r="B12" s="15">
        <v>2</v>
      </c>
      <c r="C12" s="11" t="s">
        <v>9</v>
      </c>
      <c r="D12" s="12">
        <v>1</v>
      </c>
      <c r="E12" s="12">
        <v>1</v>
      </c>
      <c r="F12" s="12">
        <v>0</v>
      </c>
      <c r="G12" s="13">
        <v>0</v>
      </c>
      <c r="H12" s="14">
        <v>8</v>
      </c>
      <c r="I12" s="14">
        <v>4</v>
      </c>
      <c r="J12" s="14">
        <v>4</v>
      </c>
      <c r="K12" s="14">
        <v>4</v>
      </c>
      <c r="L12" s="14">
        <v>3</v>
      </c>
      <c r="O12" s="39">
        <v>1</v>
      </c>
      <c r="P12" s="40" t="s">
        <v>9</v>
      </c>
      <c r="Q12" s="16">
        <v>8</v>
      </c>
      <c r="R12" s="50" t="s">
        <v>231</v>
      </c>
      <c r="S12" s="16">
        <v>4</v>
      </c>
      <c r="T12" s="44"/>
      <c r="U12" s="44"/>
      <c r="V12" s="39">
        <v>1</v>
      </c>
      <c r="W12" s="41" t="s">
        <v>221</v>
      </c>
      <c r="X12" s="51"/>
      <c r="Y12" s="16"/>
      <c r="Z12" s="44"/>
      <c r="AA12" s="44"/>
      <c r="AB12" s="39">
        <v>1</v>
      </c>
      <c r="AC12" s="57" t="s">
        <v>170</v>
      </c>
      <c r="AD12" s="51" t="s">
        <v>11</v>
      </c>
      <c r="AE12" s="20">
        <v>1</v>
      </c>
    </row>
    <row r="13" customHeight="1" spans="2:31">
      <c r="B13" s="15">
        <v>3</v>
      </c>
      <c r="C13" s="11" t="s">
        <v>23</v>
      </c>
      <c r="D13" s="12">
        <v>2</v>
      </c>
      <c r="E13" s="12">
        <v>1</v>
      </c>
      <c r="F13" s="12">
        <v>0</v>
      </c>
      <c r="G13" s="13">
        <v>1</v>
      </c>
      <c r="H13" s="16">
        <v>7</v>
      </c>
      <c r="I13" s="14">
        <v>5</v>
      </c>
      <c r="J13" s="14">
        <v>2</v>
      </c>
      <c r="K13" s="14">
        <v>2.5</v>
      </c>
      <c r="L13" s="14">
        <v>3</v>
      </c>
      <c r="O13" s="39">
        <v>2</v>
      </c>
      <c r="P13" s="40" t="s">
        <v>238</v>
      </c>
      <c r="Q13" s="13">
        <v>5</v>
      </c>
      <c r="R13" s="41" t="s">
        <v>10</v>
      </c>
      <c r="S13" s="13">
        <v>4</v>
      </c>
      <c r="T13" s="44"/>
      <c r="U13" s="44"/>
      <c r="Z13" s="44"/>
      <c r="AA13" s="44"/>
      <c r="AC13" s="58" t="s">
        <v>219</v>
      </c>
      <c r="AD13" s="17" t="s">
        <v>11</v>
      </c>
      <c r="AE13" s="12">
        <v>2</v>
      </c>
    </row>
    <row r="14" customHeight="1" spans="2:31">
      <c r="B14" s="10">
        <v>4</v>
      </c>
      <c r="C14" s="11" t="s">
        <v>13</v>
      </c>
      <c r="D14" s="12">
        <v>0</v>
      </c>
      <c r="E14" s="12">
        <v>0</v>
      </c>
      <c r="F14" s="12">
        <v>0</v>
      </c>
      <c r="G14" s="13">
        <v>0</v>
      </c>
      <c r="H14" s="14">
        <v>0</v>
      </c>
      <c r="I14" s="14">
        <v>0</v>
      </c>
      <c r="J14" s="14">
        <v>0</v>
      </c>
      <c r="K14" s="14" t="s">
        <v>228</v>
      </c>
      <c r="L14" s="14">
        <v>0</v>
      </c>
      <c r="Q14" s="53"/>
      <c r="R14" s="53"/>
      <c r="S14" s="53"/>
      <c r="T14" s="44"/>
      <c r="U14" s="44"/>
      <c r="Z14" s="44"/>
      <c r="AA14" s="44"/>
      <c r="AC14" s="58" t="s">
        <v>156</v>
      </c>
      <c r="AD14" s="17" t="s">
        <v>11</v>
      </c>
      <c r="AE14" s="12">
        <v>1</v>
      </c>
    </row>
    <row r="15" customHeight="1" spans="2:31">
      <c r="B15" s="10">
        <v>5</v>
      </c>
      <c r="C15" s="17" t="s">
        <v>235</v>
      </c>
      <c r="D15" s="12">
        <v>0</v>
      </c>
      <c r="E15" s="12">
        <v>0</v>
      </c>
      <c r="F15" s="12">
        <v>0</v>
      </c>
      <c r="G15" s="13">
        <v>0</v>
      </c>
      <c r="H15" s="14">
        <v>0</v>
      </c>
      <c r="I15" s="14">
        <v>0</v>
      </c>
      <c r="J15" s="14">
        <v>0</v>
      </c>
      <c r="K15" s="14" t="s">
        <v>228</v>
      </c>
      <c r="L15" s="14">
        <v>0</v>
      </c>
      <c r="T15" s="44"/>
      <c r="U15" s="44"/>
      <c r="Z15" s="44"/>
      <c r="AA15" s="44"/>
      <c r="AC15" s="58" t="s">
        <v>166</v>
      </c>
      <c r="AD15" s="17" t="s">
        <v>234</v>
      </c>
      <c r="AE15" s="12">
        <v>1</v>
      </c>
    </row>
    <row r="16" customHeight="1" spans="2:31">
      <c r="B16" s="18">
        <v>6</v>
      </c>
      <c r="C16" s="19" t="s">
        <v>236</v>
      </c>
      <c r="D16" s="20">
        <v>0</v>
      </c>
      <c r="E16" s="20">
        <v>0</v>
      </c>
      <c r="F16" s="20">
        <v>0</v>
      </c>
      <c r="G16" s="16">
        <v>0</v>
      </c>
      <c r="H16" s="21">
        <v>0</v>
      </c>
      <c r="I16" s="21">
        <v>0</v>
      </c>
      <c r="J16" s="21">
        <v>0</v>
      </c>
      <c r="K16" s="21" t="s">
        <v>228</v>
      </c>
      <c r="L16" s="21">
        <v>0</v>
      </c>
      <c r="T16" s="44"/>
      <c r="U16" s="44"/>
      <c r="Z16" s="44"/>
      <c r="AA16" s="44"/>
      <c r="AC16" s="58" t="s">
        <v>148</v>
      </c>
      <c r="AD16" s="17" t="s">
        <v>10</v>
      </c>
      <c r="AE16" s="12">
        <v>3</v>
      </c>
    </row>
    <row r="17" customHeight="1" spans="2:31">
      <c r="B17" s="22">
        <v>7</v>
      </c>
      <c r="C17" s="23" t="s">
        <v>234</v>
      </c>
      <c r="D17" s="24">
        <v>1</v>
      </c>
      <c r="E17" s="24">
        <v>0</v>
      </c>
      <c r="F17" s="24">
        <v>0</v>
      </c>
      <c r="G17" s="25">
        <v>1</v>
      </c>
      <c r="H17" s="26">
        <v>1</v>
      </c>
      <c r="I17" s="26">
        <v>4</v>
      </c>
      <c r="J17" s="26">
        <v>-3</v>
      </c>
      <c r="K17" s="26">
        <v>4</v>
      </c>
      <c r="L17" s="26">
        <v>0</v>
      </c>
      <c r="T17" s="44"/>
      <c r="U17" s="44"/>
      <c r="Z17" s="44"/>
      <c r="AA17" s="44"/>
      <c r="AC17" s="58" t="s">
        <v>178</v>
      </c>
      <c r="AD17" s="17" t="s">
        <v>11</v>
      </c>
      <c r="AE17" s="12">
        <v>1</v>
      </c>
    </row>
    <row r="18" customHeight="1" spans="2:31">
      <c r="B18" s="22">
        <v>8</v>
      </c>
      <c r="C18" s="23" t="s">
        <v>6</v>
      </c>
      <c r="D18" s="24">
        <v>1</v>
      </c>
      <c r="E18" s="24">
        <v>0</v>
      </c>
      <c r="F18" s="24">
        <v>0</v>
      </c>
      <c r="G18" s="25">
        <v>1</v>
      </c>
      <c r="H18" s="26">
        <v>0</v>
      </c>
      <c r="I18" s="26">
        <v>3</v>
      </c>
      <c r="J18" s="26">
        <v>-3</v>
      </c>
      <c r="K18" s="26">
        <v>3</v>
      </c>
      <c r="L18" s="26">
        <v>0</v>
      </c>
      <c r="T18" s="44"/>
      <c r="U18" s="44"/>
      <c r="Z18" s="44"/>
      <c r="AA18" s="44"/>
      <c r="AC18" s="58" t="s">
        <v>179</v>
      </c>
      <c r="AD18" s="17" t="s">
        <v>11</v>
      </c>
      <c r="AE18" s="12">
        <v>1</v>
      </c>
    </row>
    <row r="19" customHeight="1" spans="2:31">
      <c r="B19" s="27">
        <v>9</v>
      </c>
      <c r="C19" s="23" t="s">
        <v>231</v>
      </c>
      <c r="D19" s="24">
        <v>1</v>
      </c>
      <c r="E19" s="24">
        <v>0</v>
      </c>
      <c r="F19" s="24">
        <v>0</v>
      </c>
      <c r="G19" s="25">
        <v>1</v>
      </c>
      <c r="H19" s="26">
        <v>4</v>
      </c>
      <c r="I19" s="26">
        <v>8</v>
      </c>
      <c r="J19" s="26">
        <v>-4</v>
      </c>
      <c r="K19" s="26">
        <v>8</v>
      </c>
      <c r="L19" s="26">
        <v>0</v>
      </c>
      <c r="T19" s="44"/>
      <c r="U19" s="44"/>
      <c r="AC19" s="58" t="s">
        <v>157</v>
      </c>
      <c r="AD19" s="17" t="s">
        <v>11</v>
      </c>
      <c r="AE19" s="12">
        <v>3</v>
      </c>
    </row>
    <row r="20" customHeight="1" spans="2:31">
      <c r="B20" s="16">
        <v>10</v>
      </c>
      <c r="C20" s="28"/>
      <c r="D20" s="24"/>
      <c r="E20" s="24"/>
      <c r="F20" s="24"/>
      <c r="G20" s="25"/>
      <c r="H20" s="26"/>
      <c r="I20" s="26"/>
      <c r="J20" s="26"/>
      <c r="K20" s="26"/>
      <c r="L20" s="26"/>
      <c r="T20" s="44"/>
      <c r="U20" s="44"/>
      <c r="AC20" s="58" t="s">
        <v>162</v>
      </c>
      <c r="AD20" s="17" t="s">
        <v>10</v>
      </c>
      <c r="AE20" s="12">
        <v>1</v>
      </c>
    </row>
    <row r="21" customHeight="1" spans="2:31">
      <c r="B21" s="25">
        <v>11</v>
      </c>
      <c r="C21" s="28"/>
      <c r="D21" s="24"/>
      <c r="E21" s="24"/>
      <c r="F21" s="24"/>
      <c r="G21" s="25"/>
      <c r="H21" s="26"/>
      <c r="I21" s="26"/>
      <c r="J21" s="26"/>
      <c r="K21" s="26"/>
      <c r="L21" s="26"/>
      <c r="T21" s="44"/>
      <c r="U21" s="44"/>
      <c r="AC21" s="58" t="s">
        <v>146</v>
      </c>
      <c r="AD21" s="17" t="s">
        <v>10</v>
      </c>
      <c r="AE21" s="12">
        <v>2</v>
      </c>
    </row>
    <row r="22" customHeight="1" spans="2:31">
      <c r="B22" s="25">
        <v>12</v>
      </c>
      <c r="C22" s="28"/>
      <c r="D22" s="24"/>
      <c r="E22" s="24"/>
      <c r="F22" s="24"/>
      <c r="G22" s="25"/>
      <c r="H22" s="26"/>
      <c r="I22" s="26"/>
      <c r="J22" s="26"/>
      <c r="K22" s="26"/>
      <c r="L22" s="26"/>
      <c r="T22" s="44"/>
      <c r="U22" s="44"/>
      <c r="AC22" s="58" t="s">
        <v>180</v>
      </c>
      <c r="AD22" s="17" t="s">
        <v>10</v>
      </c>
      <c r="AE22" s="12">
        <v>1</v>
      </c>
    </row>
    <row r="23" customHeight="1" spans="2:31">
      <c r="B23" s="25">
        <v>13</v>
      </c>
      <c r="C23" s="28"/>
      <c r="D23" s="24"/>
      <c r="E23" s="24"/>
      <c r="F23" s="24"/>
      <c r="G23" s="25"/>
      <c r="H23" s="26"/>
      <c r="I23" s="26"/>
      <c r="J23" s="26"/>
      <c r="K23" s="26"/>
      <c r="L23" s="26"/>
      <c r="T23" s="44"/>
      <c r="U23" s="44"/>
      <c r="AC23" s="58" t="s">
        <v>145</v>
      </c>
      <c r="AD23" s="17" t="s">
        <v>9</v>
      </c>
      <c r="AE23" s="12">
        <v>4</v>
      </c>
    </row>
    <row r="24" customHeight="1" spans="2:31">
      <c r="B24" s="25">
        <v>14</v>
      </c>
      <c r="C24" s="28"/>
      <c r="D24" s="24"/>
      <c r="E24" s="24"/>
      <c r="F24" s="24"/>
      <c r="G24" s="25"/>
      <c r="H24" s="26"/>
      <c r="I24" s="26"/>
      <c r="J24" s="26"/>
      <c r="K24" s="26"/>
      <c r="L24" s="26"/>
      <c r="T24" s="44"/>
      <c r="U24" s="44"/>
      <c r="AC24" s="58" t="s">
        <v>176</v>
      </c>
      <c r="AD24" s="17" t="s">
        <v>9</v>
      </c>
      <c r="AE24" s="12">
        <v>1</v>
      </c>
    </row>
    <row r="25" customHeight="1" spans="2:31">
      <c r="B25" s="25">
        <v>15</v>
      </c>
      <c r="C25" s="28"/>
      <c r="D25" s="24"/>
      <c r="E25" s="24"/>
      <c r="F25" s="24"/>
      <c r="G25" s="25"/>
      <c r="H25" s="26"/>
      <c r="I25" s="26"/>
      <c r="J25" s="26"/>
      <c r="K25" s="26"/>
      <c r="L25" s="26"/>
      <c r="AC25" s="58" t="s">
        <v>171</v>
      </c>
      <c r="AD25" s="17" t="s">
        <v>9</v>
      </c>
      <c r="AE25" s="12">
        <v>1</v>
      </c>
    </row>
    <row r="26" customHeight="1" spans="2:31">
      <c r="B26" s="25">
        <v>16</v>
      </c>
      <c r="C26" s="28"/>
      <c r="D26" s="24"/>
      <c r="E26" s="24"/>
      <c r="F26" s="24"/>
      <c r="G26" s="25"/>
      <c r="H26" s="26"/>
      <c r="I26" s="26"/>
      <c r="J26" s="26"/>
      <c r="K26" s="26"/>
      <c r="L26" s="26"/>
      <c r="AC26" s="58" t="s">
        <v>154</v>
      </c>
      <c r="AD26" s="17" t="s">
        <v>9</v>
      </c>
      <c r="AE26" s="12">
        <v>1</v>
      </c>
    </row>
    <row r="27" customHeight="1" spans="4:31">
      <c r="D27" s="1">
        <f>SUM(D11:D26)/2</f>
        <v>4</v>
      </c>
      <c r="E27" s="1">
        <f>SUM(E11:E26)</f>
        <v>4</v>
      </c>
      <c r="F27" s="1">
        <f>SUM(F11:F26)/2</f>
        <v>0</v>
      </c>
      <c r="G27" s="1">
        <f>SUM(G11:G26)</f>
        <v>4</v>
      </c>
      <c r="H27" s="1">
        <f>SUM(H11:H26)</f>
        <v>29</v>
      </c>
      <c r="I27" s="1">
        <f>SUM(I11:I26)</f>
        <v>29</v>
      </c>
      <c r="AC27" s="58" t="s">
        <v>155</v>
      </c>
      <c r="AD27" s="17" t="s">
        <v>9</v>
      </c>
      <c r="AE27" s="12">
        <v>1</v>
      </c>
    </row>
    <row r="28" customHeight="1" spans="2:31">
      <c r="B28" s="29"/>
      <c r="C28" s="1" t="s">
        <v>153</v>
      </c>
      <c r="AC28" s="58" t="s">
        <v>143</v>
      </c>
      <c r="AD28" s="17" t="s">
        <v>231</v>
      </c>
      <c r="AE28" s="12">
        <v>2</v>
      </c>
    </row>
    <row r="29" customHeight="1" spans="29:31">
      <c r="AC29" s="58" t="s">
        <v>152</v>
      </c>
      <c r="AD29" s="17" t="s">
        <v>231</v>
      </c>
      <c r="AE29" s="12">
        <v>2</v>
      </c>
    </row>
    <row r="30" customHeight="1" spans="2:13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</row>
    <row r="31" customHeight="1" spans="2:13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</row>
    <row r="32" customHeight="1" spans="2:13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</row>
    <row r="33" customHeight="1" spans="2:13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</row>
    <row r="34" customHeight="1" spans="2:13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</row>
    <row r="35" customHeight="1" spans="2:13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</row>
    <row r="36" customHeight="1" spans="2:13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</row>
    <row r="37" customHeight="1" spans="2:13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</row>
    <row r="38" customHeight="1" spans="2:13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</row>
    <row r="39" customHeight="1" spans="2:13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</row>
    <row r="40" customHeight="1" spans="2:13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</row>
    <row r="41" customHeight="1" spans="2:13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</row>
    <row r="42" customHeight="1" spans="1:13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</row>
    <row r="43" customHeight="1" spans="2:13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</row>
    <row r="44" customHeight="1" spans="2:13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</row>
    <row r="45" customHeight="1" spans="2:13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</row>
    <row r="46" customHeight="1" spans="2:13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</row>
    <row r="47" customHeight="1" spans="2:13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</row>
    <row r="48" customHeight="1" spans="2:13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</row>
    <row r="49" customHeight="1" spans="2:13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</row>
    <row r="50" customHeight="1" spans="2:13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</row>
    <row r="51" customHeight="1" spans="2:13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</row>
    <row r="52" customHeight="1" spans="2:13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</row>
    <row r="53" customHeight="1" spans="2:13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</row>
    <row r="54" customHeight="1" spans="2:13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</row>
    <row r="55" customHeight="1" spans="2:13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</row>
    <row r="56" customHeight="1" spans="2:13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</row>
    <row r="57" customHeight="1" spans="2:13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</row>
    <row r="58" customHeight="1" spans="2:13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</row>
    <row r="59" customHeight="1" spans="2:13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</row>
    <row r="60" customHeight="1" spans="2:13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</row>
    <row r="61" customHeight="1" spans="2:13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2:13">
      <c r="B106" s="30"/>
      <c r="C106" s="30"/>
      <c r="D106" s="30"/>
      <c r="E106" s="30"/>
      <c r="F106" s="30"/>
      <c r="G106" s="30"/>
      <c r="H106" s="30"/>
      <c r="I106" s="30"/>
      <c r="J106" s="42"/>
      <c r="K106" s="42"/>
      <c r="L106" s="30"/>
      <c r="M106" s="30"/>
    </row>
    <row r="107" customHeight="1" spans="2:13">
      <c r="B107" s="30"/>
      <c r="C107" s="30"/>
      <c r="D107" s="30"/>
      <c r="E107" s="30"/>
      <c r="F107" s="30"/>
      <c r="G107" s="30"/>
      <c r="H107" s="30"/>
      <c r="I107" s="30"/>
      <c r="J107" s="42"/>
      <c r="K107" s="42"/>
      <c r="L107" s="30"/>
      <c r="M107" s="30"/>
    </row>
    <row r="108" customHeight="1" spans="2:13">
      <c r="B108" s="30"/>
      <c r="C108" s="30"/>
      <c r="D108" s="30"/>
      <c r="E108" s="30"/>
      <c r="F108" s="30"/>
      <c r="G108" s="30"/>
      <c r="H108" s="30"/>
      <c r="I108" s="30"/>
      <c r="J108" s="42"/>
      <c r="K108" s="42"/>
      <c r="L108" s="30"/>
      <c r="M108" s="30"/>
    </row>
    <row r="109" customHeight="1" spans="2:13">
      <c r="B109" s="30"/>
      <c r="C109" s="30"/>
      <c r="D109" s="30"/>
      <c r="E109" s="30"/>
      <c r="F109" s="30"/>
      <c r="G109" s="30"/>
      <c r="H109" s="30"/>
      <c r="I109" s="30"/>
      <c r="J109" s="42"/>
      <c r="K109" s="42"/>
      <c r="L109" s="30"/>
      <c r="M109" s="30"/>
    </row>
    <row r="110" customHeight="1" spans="2:13">
      <c r="B110" s="30"/>
      <c r="C110" s="30"/>
      <c r="D110" s="30"/>
      <c r="E110" s="30"/>
      <c r="F110" s="30"/>
      <c r="G110" s="30"/>
      <c r="H110" s="30"/>
      <c r="I110" s="30"/>
      <c r="J110" s="42"/>
      <c r="K110" s="42"/>
      <c r="L110" s="30"/>
      <c r="M110" s="30"/>
    </row>
    <row r="111" customHeight="1" spans="2:13">
      <c r="B111" s="30"/>
      <c r="C111" s="30"/>
      <c r="D111" s="30"/>
      <c r="E111" s="30"/>
      <c r="F111" s="30"/>
      <c r="G111" s="30"/>
      <c r="H111" s="30"/>
      <c r="I111" s="30"/>
      <c r="J111" s="42"/>
      <c r="K111" s="42"/>
      <c r="L111" s="30"/>
      <c r="M111" s="30"/>
    </row>
    <row r="112" customHeight="1" spans="2:13">
      <c r="B112" s="30"/>
      <c r="C112" s="30"/>
      <c r="D112" s="30"/>
      <c r="E112" s="30"/>
      <c r="F112" s="30"/>
      <c r="G112" s="30"/>
      <c r="H112" s="30"/>
      <c r="I112" s="30"/>
      <c r="J112" s="42"/>
      <c r="K112" s="42"/>
      <c r="L112" s="30"/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Hoja21"/>
  <dimension ref="A4:AI112"/>
  <sheetViews>
    <sheetView showGridLines="0" zoomScale="70" zoomScaleNormal="70" zoomScalePageLayoutView="90" workbookViewId="0">
      <selection activeCell="A1" sqref="A1"/>
    </sheetView>
  </sheetViews>
  <sheetFormatPr defaultColWidth="11" defaultRowHeight="20.1" customHeight="1"/>
  <cols>
    <col min="1" max="1" width="2.71296296296296" style="1" customWidth="1"/>
    <col min="2" max="2" width="4.71296296296296" style="1" customWidth="1"/>
    <col min="3" max="3" width="65.712962962963" style="1" customWidth="1"/>
    <col min="4" max="9" width="7.71296296296296" style="1" customWidth="1"/>
    <col min="10" max="11" width="7.71296296296296" style="2" customWidth="1"/>
    <col min="12" max="12" width="7.71296296296296" style="1" customWidth="1"/>
    <col min="13" max="14" width="2.71296296296296" style="1" customWidth="1"/>
    <col min="15" max="15" width="4.71296296296296" style="1" customWidth="1"/>
    <col min="16" max="16" width="58.712962962963" style="1" customWidth="1"/>
    <col min="17" max="17" width="8.71296296296296" style="1" customWidth="1"/>
    <col min="18" max="18" width="58.712962962963" style="1" customWidth="1"/>
    <col min="19" max="19" width="8.71296296296296" style="1" customWidth="1"/>
    <col min="20" max="21" width="2.71296296296296" style="1" customWidth="1"/>
    <col min="22" max="22" width="4.71296296296296" style="1" customWidth="1"/>
    <col min="23" max="24" width="60.712962962963" style="1" customWidth="1"/>
    <col min="25" max="25" width="10.712962962963" style="1" customWidth="1"/>
    <col min="26" max="27" width="2.71296296296296" style="1" customWidth="1"/>
    <col min="28" max="28" width="5.71296296296296" style="1" customWidth="1"/>
    <col min="29" max="30" width="60.712962962963" style="1" customWidth="1"/>
    <col min="31" max="31" width="13.712962962963" style="1" customWidth="1"/>
    <col min="32" max="33" width="2.71296296296296" style="1" customWidth="1"/>
    <col min="34" max="16384" width="11.4259259259259" style="1"/>
  </cols>
  <sheetData>
    <row r="4" customHeight="1" spans="4:30">
      <c r="D4" s="3" t="s">
        <v>132</v>
      </c>
      <c r="E4" s="3"/>
      <c r="Q4" s="3" t="s">
        <v>132</v>
      </c>
      <c r="X4" s="3" t="s">
        <v>132</v>
      </c>
      <c r="AD4" s="3" t="s">
        <v>132</v>
      </c>
    </row>
    <row r="5" customHeight="1" spans="4:30">
      <c r="D5" s="3" t="s">
        <v>133</v>
      </c>
      <c r="Q5" s="3" t="s">
        <v>133</v>
      </c>
      <c r="X5" s="3" t="s">
        <v>133</v>
      </c>
      <c r="AD5" s="3" t="s">
        <v>133</v>
      </c>
    </row>
    <row r="6" customHeight="1" spans="4:30">
      <c r="D6" s="3" t="s">
        <v>134</v>
      </c>
      <c r="Q6" s="3" t="s">
        <v>134</v>
      </c>
      <c r="X6" s="3" t="s">
        <v>134</v>
      </c>
      <c r="AD6" s="3" t="s">
        <v>134</v>
      </c>
    </row>
    <row r="9" customHeight="1" spans="3:31">
      <c r="C9" s="4" t="s">
        <v>135</v>
      </c>
      <c r="D9" s="5"/>
      <c r="E9" s="5"/>
      <c r="F9" s="5"/>
      <c r="G9" s="5"/>
      <c r="H9" s="5"/>
      <c r="I9" s="5"/>
      <c r="J9" s="5"/>
      <c r="K9" s="5"/>
      <c r="L9" s="31"/>
      <c r="M9" s="32"/>
      <c r="P9" s="6" t="s">
        <v>136</v>
      </c>
      <c r="Q9" s="33"/>
      <c r="R9" s="33"/>
      <c r="S9" s="8"/>
      <c r="T9" s="43"/>
      <c r="U9" s="44"/>
      <c r="W9" s="6" t="s">
        <v>137</v>
      </c>
      <c r="X9" s="33"/>
      <c r="Y9" s="8"/>
      <c r="Z9" s="44"/>
      <c r="AA9" s="44"/>
      <c r="AC9" s="6" t="s">
        <v>138</v>
      </c>
      <c r="AD9" s="33"/>
      <c r="AE9" s="8"/>
    </row>
    <row r="10" customHeight="1" spans="3:31">
      <c r="C10" s="6" t="s">
        <v>2</v>
      </c>
      <c r="D10" s="6" t="s">
        <v>26</v>
      </c>
      <c r="E10" s="6" t="s">
        <v>27</v>
      </c>
      <c r="F10" s="6" t="s">
        <v>28</v>
      </c>
      <c r="G10" s="7" t="s">
        <v>29</v>
      </c>
      <c r="H10" s="8" t="s">
        <v>30</v>
      </c>
      <c r="I10" s="8" t="s">
        <v>31</v>
      </c>
      <c r="J10" s="33" t="s">
        <v>32</v>
      </c>
      <c r="K10" s="34" t="s">
        <v>33</v>
      </c>
      <c r="L10" s="35" t="s">
        <v>34</v>
      </c>
      <c r="M10" s="32"/>
      <c r="P10" s="36" t="s">
        <v>239</v>
      </c>
      <c r="Q10" s="45"/>
      <c r="R10" s="45"/>
      <c r="S10" s="46"/>
      <c r="T10" s="44"/>
      <c r="U10" s="44"/>
      <c r="W10" s="47" t="s">
        <v>239</v>
      </c>
      <c r="X10" s="48"/>
      <c r="Y10" s="54"/>
      <c r="Z10" s="44"/>
      <c r="AA10" s="44"/>
      <c r="AC10" s="47" t="s">
        <v>239</v>
      </c>
      <c r="AD10" s="48"/>
      <c r="AE10" s="54"/>
    </row>
    <row r="11" customHeight="1" spans="1:35">
      <c r="A11" s="9"/>
      <c r="B11" s="10">
        <v>1</v>
      </c>
      <c r="C11" s="11" t="s">
        <v>11</v>
      </c>
      <c r="D11" s="12">
        <v>1</v>
      </c>
      <c r="E11" s="12">
        <v>1</v>
      </c>
      <c r="F11" s="12">
        <v>0</v>
      </c>
      <c r="G11" s="13">
        <v>0</v>
      </c>
      <c r="H11" s="14">
        <v>4</v>
      </c>
      <c r="I11" s="14">
        <v>1</v>
      </c>
      <c r="J11" s="14">
        <v>3</v>
      </c>
      <c r="K11" s="37">
        <v>1</v>
      </c>
      <c r="L11" s="14">
        <v>3</v>
      </c>
      <c r="O11" s="38" t="s">
        <v>16</v>
      </c>
      <c r="P11" s="4" t="s">
        <v>2</v>
      </c>
      <c r="Q11" s="35" t="s">
        <v>140</v>
      </c>
      <c r="R11" s="4" t="s">
        <v>2</v>
      </c>
      <c r="S11" s="7" t="s">
        <v>140</v>
      </c>
      <c r="T11" s="43"/>
      <c r="U11" s="44"/>
      <c r="V11" s="38" t="s">
        <v>16</v>
      </c>
      <c r="W11" s="49" t="s">
        <v>1</v>
      </c>
      <c r="X11" s="36" t="s">
        <v>2</v>
      </c>
      <c r="Y11" s="55" t="s">
        <v>40</v>
      </c>
      <c r="Z11" s="43"/>
      <c r="AA11" s="44"/>
      <c r="AB11" s="38" t="s">
        <v>16</v>
      </c>
      <c r="AC11" s="46" t="s">
        <v>1</v>
      </c>
      <c r="AD11" s="36" t="s">
        <v>2</v>
      </c>
      <c r="AE11" s="56" t="s">
        <v>140</v>
      </c>
      <c r="AH11" s="59">
        <f>SUBTOTAL(9,Tabla36789101112131415[GOLES])</f>
        <v>8</v>
      </c>
      <c r="AI11" s="60">
        <f>H27</f>
        <v>8</v>
      </c>
    </row>
    <row r="12" customHeight="1" spans="2:31">
      <c r="B12" s="15">
        <v>2</v>
      </c>
      <c r="C12" s="11" t="s">
        <v>23</v>
      </c>
      <c r="D12" s="12">
        <v>1</v>
      </c>
      <c r="E12" s="12">
        <v>1</v>
      </c>
      <c r="F12" s="12">
        <v>0</v>
      </c>
      <c r="G12" s="13">
        <v>0</v>
      </c>
      <c r="H12" s="14">
        <v>3</v>
      </c>
      <c r="I12" s="14">
        <v>0</v>
      </c>
      <c r="J12" s="14">
        <v>3</v>
      </c>
      <c r="K12" s="14" t="s">
        <v>228</v>
      </c>
      <c r="L12" s="14">
        <v>3</v>
      </c>
      <c r="O12" s="39">
        <v>1</v>
      </c>
      <c r="P12" s="40" t="s">
        <v>238</v>
      </c>
      <c r="Q12" s="16">
        <v>4</v>
      </c>
      <c r="R12" s="50" t="s">
        <v>234</v>
      </c>
      <c r="S12" s="16">
        <v>1</v>
      </c>
      <c r="T12" s="44"/>
      <c r="U12" s="44"/>
      <c r="V12" s="39">
        <v>1</v>
      </c>
      <c r="W12" s="41" t="s">
        <v>221</v>
      </c>
      <c r="X12" s="51"/>
      <c r="Y12" s="16"/>
      <c r="Z12" s="44"/>
      <c r="AA12" s="44"/>
      <c r="AB12" s="39">
        <v>1</v>
      </c>
      <c r="AC12" s="57" t="s">
        <v>170</v>
      </c>
      <c r="AD12" s="51" t="s">
        <v>11</v>
      </c>
      <c r="AE12" s="20">
        <v>1</v>
      </c>
    </row>
    <row r="13" customHeight="1" spans="2:31">
      <c r="B13" s="15">
        <v>3</v>
      </c>
      <c r="C13" s="11" t="s">
        <v>240</v>
      </c>
      <c r="D13" s="12">
        <v>0</v>
      </c>
      <c r="E13" s="12">
        <v>0</v>
      </c>
      <c r="F13" s="12">
        <v>0</v>
      </c>
      <c r="G13" s="13">
        <v>0</v>
      </c>
      <c r="H13" s="16">
        <v>0</v>
      </c>
      <c r="I13" s="14">
        <v>0</v>
      </c>
      <c r="J13" s="14">
        <v>0</v>
      </c>
      <c r="K13" s="14" t="s">
        <v>228</v>
      </c>
      <c r="L13" s="14">
        <v>0</v>
      </c>
      <c r="O13" s="39">
        <v>2</v>
      </c>
      <c r="P13" s="41" t="s">
        <v>10</v>
      </c>
      <c r="Q13" s="13">
        <v>3</v>
      </c>
      <c r="R13" s="52" t="s">
        <v>6</v>
      </c>
      <c r="S13" s="13">
        <v>0</v>
      </c>
      <c r="T13" s="44"/>
      <c r="U13" s="44"/>
      <c r="Z13" s="44"/>
      <c r="AA13" s="44"/>
      <c r="AC13" s="58" t="s">
        <v>219</v>
      </c>
      <c r="AD13" s="17" t="s">
        <v>11</v>
      </c>
      <c r="AE13" s="12">
        <v>2</v>
      </c>
    </row>
    <row r="14" customHeight="1" spans="2:31">
      <c r="B14" s="10">
        <v>4</v>
      </c>
      <c r="C14" s="11" t="s">
        <v>231</v>
      </c>
      <c r="D14" s="12">
        <v>0</v>
      </c>
      <c r="E14" s="12">
        <v>0</v>
      </c>
      <c r="F14" s="12">
        <v>0</v>
      </c>
      <c r="G14" s="13">
        <v>0</v>
      </c>
      <c r="H14" s="14">
        <v>0</v>
      </c>
      <c r="I14" s="14">
        <v>0</v>
      </c>
      <c r="J14" s="14">
        <v>0</v>
      </c>
      <c r="K14" s="14" t="s">
        <v>228</v>
      </c>
      <c r="L14" s="14">
        <v>0</v>
      </c>
      <c r="Q14" s="53"/>
      <c r="R14" s="53"/>
      <c r="S14" s="53"/>
      <c r="T14" s="44"/>
      <c r="U14" s="44"/>
      <c r="Z14" s="44"/>
      <c r="AA14" s="44"/>
      <c r="AC14" s="58" t="s">
        <v>156</v>
      </c>
      <c r="AD14" s="17" t="s">
        <v>11</v>
      </c>
      <c r="AE14" s="12">
        <v>1</v>
      </c>
    </row>
    <row r="15" customHeight="1" spans="2:31">
      <c r="B15" s="10">
        <v>5</v>
      </c>
      <c r="C15" s="17" t="s">
        <v>13</v>
      </c>
      <c r="D15" s="12">
        <v>0</v>
      </c>
      <c r="E15" s="12">
        <v>0</v>
      </c>
      <c r="F15" s="12">
        <v>0</v>
      </c>
      <c r="G15" s="13">
        <v>0</v>
      </c>
      <c r="H15" s="14">
        <v>0</v>
      </c>
      <c r="I15" s="14">
        <v>0</v>
      </c>
      <c r="J15" s="14">
        <v>0</v>
      </c>
      <c r="K15" s="14" t="s">
        <v>228</v>
      </c>
      <c r="L15" s="14">
        <v>0</v>
      </c>
      <c r="T15" s="44"/>
      <c r="U15" s="44"/>
      <c r="Z15" s="44"/>
      <c r="AA15" s="44"/>
      <c r="AC15" s="58" t="s">
        <v>166</v>
      </c>
      <c r="AD15" s="17" t="s">
        <v>234</v>
      </c>
      <c r="AE15" s="12">
        <v>1</v>
      </c>
    </row>
    <row r="16" customHeight="1" spans="2:31">
      <c r="B16" s="18">
        <v>6</v>
      </c>
      <c r="C16" s="19" t="s">
        <v>235</v>
      </c>
      <c r="D16" s="20">
        <v>0</v>
      </c>
      <c r="E16" s="20">
        <v>0</v>
      </c>
      <c r="F16" s="20">
        <v>0</v>
      </c>
      <c r="G16" s="16">
        <v>0</v>
      </c>
      <c r="H16" s="21">
        <v>0</v>
      </c>
      <c r="I16" s="21">
        <v>0</v>
      </c>
      <c r="J16" s="21">
        <v>0</v>
      </c>
      <c r="K16" s="21" t="s">
        <v>228</v>
      </c>
      <c r="L16" s="21">
        <v>0</v>
      </c>
      <c r="T16" s="44"/>
      <c r="U16" s="44"/>
      <c r="Z16" s="44"/>
      <c r="AA16" s="44"/>
      <c r="AC16" s="58" t="s">
        <v>148</v>
      </c>
      <c r="AD16" s="17" t="s">
        <v>10</v>
      </c>
      <c r="AE16" s="12">
        <v>3</v>
      </c>
    </row>
    <row r="17" customHeight="1" spans="2:27">
      <c r="B17" s="22">
        <v>7</v>
      </c>
      <c r="C17" s="23" t="s">
        <v>234</v>
      </c>
      <c r="D17" s="24">
        <v>1</v>
      </c>
      <c r="E17" s="24">
        <v>0</v>
      </c>
      <c r="F17" s="24">
        <v>0</v>
      </c>
      <c r="G17" s="25">
        <v>1</v>
      </c>
      <c r="H17" s="26">
        <v>1</v>
      </c>
      <c r="I17" s="26">
        <v>4</v>
      </c>
      <c r="J17" s="26">
        <v>-3</v>
      </c>
      <c r="K17" s="26">
        <v>4</v>
      </c>
      <c r="L17" s="26">
        <v>0</v>
      </c>
      <c r="T17" s="44"/>
      <c r="U17" s="44"/>
      <c r="Z17" s="44"/>
      <c r="AA17" s="44"/>
    </row>
    <row r="18" customHeight="1" spans="2:27">
      <c r="B18" s="22">
        <v>8</v>
      </c>
      <c r="C18" s="23" t="s">
        <v>6</v>
      </c>
      <c r="D18" s="24">
        <v>1</v>
      </c>
      <c r="E18" s="24">
        <v>0</v>
      </c>
      <c r="F18" s="24">
        <v>0</v>
      </c>
      <c r="G18" s="25">
        <v>1</v>
      </c>
      <c r="H18" s="26">
        <v>0</v>
      </c>
      <c r="I18" s="26">
        <v>3</v>
      </c>
      <c r="J18" s="26">
        <v>-3</v>
      </c>
      <c r="K18" s="26">
        <v>3</v>
      </c>
      <c r="L18" s="26">
        <v>0</v>
      </c>
      <c r="T18" s="44"/>
      <c r="U18" s="44"/>
      <c r="Z18" s="44"/>
      <c r="AA18" s="44"/>
    </row>
    <row r="19" customHeight="1" spans="2:21">
      <c r="B19" s="27">
        <v>9</v>
      </c>
      <c r="C19" s="23"/>
      <c r="D19" s="24"/>
      <c r="E19" s="24"/>
      <c r="F19" s="24"/>
      <c r="G19" s="25"/>
      <c r="H19" s="26"/>
      <c r="I19" s="26"/>
      <c r="J19" s="26"/>
      <c r="K19" s="26"/>
      <c r="L19" s="26"/>
      <c r="T19" s="44"/>
      <c r="U19" s="44"/>
    </row>
    <row r="20" customHeight="1" spans="2:21">
      <c r="B20" s="16">
        <v>10</v>
      </c>
      <c r="C20" s="28"/>
      <c r="D20" s="24"/>
      <c r="E20" s="24"/>
      <c r="F20" s="24"/>
      <c r="G20" s="25"/>
      <c r="H20" s="26"/>
      <c r="I20" s="26"/>
      <c r="J20" s="26"/>
      <c r="K20" s="26"/>
      <c r="L20" s="26"/>
      <c r="T20" s="44"/>
      <c r="U20" s="44"/>
    </row>
    <row r="21" customHeight="1" spans="2:21">
      <c r="B21" s="25">
        <v>11</v>
      </c>
      <c r="C21" s="28"/>
      <c r="D21" s="24"/>
      <c r="E21" s="24"/>
      <c r="F21" s="24"/>
      <c r="G21" s="25"/>
      <c r="H21" s="26"/>
      <c r="I21" s="26"/>
      <c r="J21" s="26"/>
      <c r="K21" s="26"/>
      <c r="L21" s="26"/>
      <c r="T21" s="44"/>
      <c r="U21" s="44"/>
    </row>
    <row r="22" customHeight="1" spans="2:21">
      <c r="B22" s="25">
        <v>12</v>
      </c>
      <c r="C22" s="28"/>
      <c r="D22" s="24"/>
      <c r="E22" s="24"/>
      <c r="F22" s="24"/>
      <c r="G22" s="25"/>
      <c r="H22" s="26"/>
      <c r="I22" s="26"/>
      <c r="J22" s="26"/>
      <c r="K22" s="26"/>
      <c r="L22" s="26"/>
      <c r="T22" s="44"/>
      <c r="U22" s="44"/>
    </row>
    <row r="23" customHeight="1" spans="2:21">
      <c r="B23" s="25">
        <v>13</v>
      </c>
      <c r="C23" s="28"/>
      <c r="D23" s="24"/>
      <c r="E23" s="24"/>
      <c r="F23" s="24"/>
      <c r="G23" s="25"/>
      <c r="H23" s="26"/>
      <c r="I23" s="26"/>
      <c r="J23" s="26"/>
      <c r="K23" s="26"/>
      <c r="L23" s="26"/>
      <c r="T23" s="44"/>
      <c r="U23" s="44"/>
    </row>
    <row r="24" customHeight="1" spans="2:21">
      <c r="B24" s="25">
        <v>14</v>
      </c>
      <c r="C24" s="28"/>
      <c r="D24" s="24"/>
      <c r="E24" s="24"/>
      <c r="F24" s="24"/>
      <c r="G24" s="25"/>
      <c r="H24" s="26"/>
      <c r="I24" s="26"/>
      <c r="J24" s="26"/>
      <c r="K24" s="26"/>
      <c r="L24" s="26"/>
      <c r="T24" s="44"/>
      <c r="U24" s="44"/>
    </row>
    <row r="25" customHeight="1" spans="2:12">
      <c r="B25" s="25">
        <v>15</v>
      </c>
      <c r="C25" s="28"/>
      <c r="D25" s="24"/>
      <c r="E25" s="24"/>
      <c r="F25" s="24"/>
      <c r="G25" s="25"/>
      <c r="H25" s="26"/>
      <c r="I25" s="26"/>
      <c r="J25" s="26"/>
      <c r="K25" s="26"/>
      <c r="L25" s="26"/>
    </row>
    <row r="26" customHeight="1" spans="2:12">
      <c r="B26" s="25">
        <v>16</v>
      </c>
      <c r="C26" s="28"/>
      <c r="D26" s="24"/>
      <c r="E26" s="24"/>
      <c r="F26" s="24"/>
      <c r="G26" s="25"/>
      <c r="H26" s="26"/>
      <c r="I26" s="26"/>
      <c r="J26" s="26"/>
      <c r="K26" s="26"/>
      <c r="L26" s="26"/>
    </row>
    <row r="27" customHeight="1" spans="4:9">
      <c r="D27" s="1">
        <f>SUM(D11:D26)/2</f>
        <v>2</v>
      </c>
      <c r="E27" s="1">
        <f>SUM(E11:E26)</f>
        <v>2</v>
      </c>
      <c r="F27" s="1">
        <f>SUM(F11:F26)/2</f>
        <v>0</v>
      </c>
      <c r="G27" s="1">
        <f>SUM(G11:G26)</f>
        <v>2</v>
      </c>
      <c r="H27" s="1">
        <f>SUM(H11:H26)</f>
        <v>8</v>
      </c>
      <c r="I27" s="1">
        <f>SUM(I11:I26)</f>
        <v>8</v>
      </c>
    </row>
    <row r="28" customHeight="1" spans="2:3">
      <c r="B28" s="29"/>
      <c r="C28" s="1" t="s">
        <v>153</v>
      </c>
    </row>
    <row r="30" customHeight="1" spans="2:13">
      <c r="B30" s="30"/>
      <c r="C30" s="30"/>
      <c r="D30" s="30"/>
      <c r="E30" s="30"/>
      <c r="F30" s="30"/>
      <c r="G30" s="30"/>
      <c r="H30" s="30"/>
      <c r="I30" s="30"/>
      <c r="J30" s="42"/>
      <c r="K30" s="42"/>
      <c r="L30" s="30"/>
      <c r="M30" s="30"/>
    </row>
    <row r="31" customHeight="1" spans="2:13">
      <c r="B31" s="30"/>
      <c r="C31" s="30"/>
      <c r="D31" s="30"/>
      <c r="E31" s="30"/>
      <c r="F31" s="30"/>
      <c r="G31" s="30"/>
      <c r="H31" s="30"/>
      <c r="I31" s="30"/>
      <c r="J31" s="42"/>
      <c r="K31" s="42"/>
      <c r="L31" s="30"/>
      <c r="M31" s="30"/>
    </row>
    <row r="32" customHeight="1" spans="2:13">
      <c r="B32" s="30"/>
      <c r="C32" s="30"/>
      <c r="D32" s="30"/>
      <c r="E32" s="30"/>
      <c r="F32" s="30"/>
      <c r="G32" s="30"/>
      <c r="H32" s="30"/>
      <c r="I32" s="30"/>
      <c r="J32" s="42"/>
      <c r="K32" s="42"/>
      <c r="L32" s="30"/>
      <c r="M32" s="30"/>
    </row>
    <row r="33" customHeight="1" spans="2:13">
      <c r="B33" s="30"/>
      <c r="C33" s="30"/>
      <c r="D33" s="30"/>
      <c r="E33" s="30"/>
      <c r="F33" s="30"/>
      <c r="G33" s="30"/>
      <c r="H33" s="30"/>
      <c r="I33" s="30"/>
      <c r="J33" s="42"/>
      <c r="K33" s="42"/>
      <c r="L33" s="30"/>
      <c r="M33" s="30"/>
    </row>
    <row r="34" customHeight="1" spans="2:13">
      <c r="B34" s="30"/>
      <c r="C34" s="30"/>
      <c r="D34" s="30"/>
      <c r="E34" s="30"/>
      <c r="F34" s="30"/>
      <c r="G34" s="30"/>
      <c r="H34" s="30"/>
      <c r="I34" s="30"/>
      <c r="J34" s="42"/>
      <c r="K34" s="42"/>
      <c r="L34" s="30"/>
      <c r="M34" s="30"/>
    </row>
    <row r="35" customHeight="1" spans="2:13">
      <c r="B35" s="30"/>
      <c r="C35" s="30"/>
      <c r="D35" s="30"/>
      <c r="E35" s="30"/>
      <c r="F35" s="30"/>
      <c r="G35" s="30"/>
      <c r="H35" s="30"/>
      <c r="I35" s="30"/>
      <c r="J35" s="42"/>
      <c r="K35" s="42"/>
      <c r="L35" s="30"/>
      <c r="M35" s="30"/>
    </row>
    <row r="36" customHeight="1" spans="2:13">
      <c r="B36" s="30"/>
      <c r="C36" s="30"/>
      <c r="D36" s="30"/>
      <c r="E36" s="30"/>
      <c r="F36" s="30"/>
      <c r="G36" s="30"/>
      <c r="H36" s="30"/>
      <c r="I36" s="30"/>
      <c r="J36" s="42"/>
      <c r="K36" s="42"/>
      <c r="L36" s="30"/>
      <c r="M36" s="30"/>
    </row>
    <row r="37" customHeight="1" spans="2:13">
      <c r="B37" s="30"/>
      <c r="C37" s="30"/>
      <c r="D37" s="30"/>
      <c r="E37" s="30"/>
      <c r="F37" s="30"/>
      <c r="G37" s="30"/>
      <c r="H37" s="30"/>
      <c r="I37" s="30"/>
      <c r="J37" s="42"/>
      <c r="K37" s="42"/>
      <c r="L37" s="30"/>
      <c r="M37" s="30"/>
    </row>
    <row r="38" customHeight="1" spans="2:13">
      <c r="B38" s="30"/>
      <c r="C38" s="30"/>
      <c r="D38" s="30"/>
      <c r="E38" s="30"/>
      <c r="F38" s="30"/>
      <c r="G38" s="30"/>
      <c r="H38" s="30"/>
      <c r="I38" s="30"/>
      <c r="J38" s="42"/>
      <c r="K38" s="42"/>
      <c r="L38" s="30"/>
      <c r="M38" s="30"/>
    </row>
    <row r="39" customHeight="1" spans="2:13">
      <c r="B39" s="30"/>
      <c r="C39" s="30"/>
      <c r="D39" s="30"/>
      <c r="E39" s="30"/>
      <c r="F39" s="30"/>
      <c r="G39" s="30"/>
      <c r="H39" s="30"/>
      <c r="I39" s="30"/>
      <c r="J39" s="42"/>
      <c r="K39" s="42"/>
      <c r="L39" s="30"/>
      <c r="M39" s="30"/>
    </row>
    <row r="40" customHeight="1" spans="2:13">
      <c r="B40" s="30"/>
      <c r="C40" s="30"/>
      <c r="D40" s="30"/>
      <c r="E40" s="30"/>
      <c r="F40" s="30"/>
      <c r="G40" s="30"/>
      <c r="H40" s="30"/>
      <c r="I40" s="30"/>
      <c r="J40" s="42"/>
      <c r="K40" s="42"/>
      <c r="L40" s="30"/>
      <c r="M40" s="30"/>
    </row>
    <row r="41" customHeight="1" spans="2:13">
      <c r="B41" s="30"/>
      <c r="C41" s="30"/>
      <c r="D41" s="30"/>
      <c r="E41" s="30"/>
      <c r="F41" s="30"/>
      <c r="G41" s="30"/>
      <c r="H41" s="30"/>
      <c r="I41" s="30"/>
      <c r="J41" s="42"/>
      <c r="K41" s="42"/>
      <c r="L41" s="30"/>
      <c r="M41" s="30"/>
    </row>
    <row r="42" customHeight="1" spans="1:13">
      <c r="A42" s="30"/>
      <c r="B42" s="30"/>
      <c r="C42" s="30"/>
      <c r="D42" s="30"/>
      <c r="E42" s="30"/>
      <c r="F42" s="30"/>
      <c r="G42" s="30"/>
      <c r="H42" s="30"/>
      <c r="I42" s="30"/>
      <c r="J42" s="42"/>
      <c r="K42" s="42"/>
      <c r="L42" s="30"/>
      <c r="M42" s="30"/>
    </row>
    <row r="43" customHeight="1" spans="2:13">
      <c r="B43" s="30"/>
      <c r="C43" s="30"/>
      <c r="D43" s="30"/>
      <c r="E43" s="30"/>
      <c r="F43" s="30"/>
      <c r="G43" s="30"/>
      <c r="H43" s="30"/>
      <c r="I43" s="30"/>
      <c r="J43" s="42"/>
      <c r="K43" s="42"/>
      <c r="L43" s="30"/>
      <c r="M43" s="30"/>
    </row>
    <row r="44" customHeight="1" spans="2:13">
      <c r="B44" s="30"/>
      <c r="C44" s="30"/>
      <c r="D44" s="30"/>
      <c r="E44" s="30"/>
      <c r="F44" s="30"/>
      <c r="G44" s="30"/>
      <c r="H44" s="30"/>
      <c r="I44" s="30"/>
      <c r="J44" s="42"/>
      <c r="K44" s="42"/>
      <c r="L44" s="30"/>
      <c r="M44" s="30"/>
    </row>
    <row r="45" customHeight="1" spans="2:13">
      <c r="B45" s="30"/>
      <c r="C45" s="30"/>
      <c r="D45" s="30"/>
      <c r="E45" s="30"/>
      <c r="F45" s="30"/>
      <c r="G45" s="30"/>
      <c r="H45" s="30"/>
      <c r="I45" s="30"/>
      <c r="J45" s="42"/>
      <c r="K45" s="42"/>
      <c r="L45" s="30"/>
      <c r="M45" s="30"/>
    </row>
    <row r="46" customHeight="1" spans="2:13">
      <c r="B46" s="30"/>
      <c r="C46" s="30"/>
      <c r="D46" s="30"/>
      <c r="E46" s="30"/>
      <c r="F46" s="30"/>
      <c r="G46" s="30"/>
      <c r="H46" s="30"/>
      <c r="I46" s="30"/>
      <c r="J46" s="42"/>
      <c r="K46" s="42"/>
      <c r="L46" s="30"/>
      <c r="M46" s="30"/>
    </row>
    <row r="47" customHeight="1" spans="2:13">
      <c r="B47" s="30"/>
      <c r="C47" s="30"/>
      <c r="D47" s="30"/>
      <c r="E47" s="30"/>
      <c r="F47" s="30"/>
      <c r="G47" s="30"/>
      <c r="H47" s="30"/>
      <c r="I47" s="30"/>
      <c r="J47" s="42"/>
      <c r="K47" s="42"/>
      <c r="L47" s="30"/>
      <c r="M47" s="30"/>
    </row>
    <row r="48" customHeight="1" spans="2:13">
      <c r="B48" s="30"/>
      <c r="C48" s="30"/>
      <c r="D48" s="30"/>
      <c r="E48" s="30"/>
      <c r="F48" s="30"/>
      <c r="G48" s="30"/>
      <c r="H48" s="30"/>
      <c r="I48" s="30"/>
      <c r="J48" s="42"/>
      <c r="K48" s="42"/>
      <c r="L48" s="30"/>
      <c r="M48" s="30"/>
    </row>
    <row r="49" customHeight="1" spans="2:13">
      <c r="B49" s="30"/>
      <c r="C49" s="30"/>
      <c r="D49" s="30"/>
      <c r="E49" s="30"/>
      <c r="F49" s="30"/>
      <c r="G49" s="30"/>
      <c r="H49" s="30"/>
      <c r="I49" s="30"/>
      <c r="J49" s="42"/>
      <c r="K49" s="42"/>
      <c r="L49" s="30"/>
      <c r="M49" s="30"/>
    </row>
    <row r="50" customHeight="1" spans="2:13">
      <c r="B50" s="30"/>
      <c r="C50" s="30"/>
      <c r="D50" s="30"/>
      <c r="E50" s="30"/>
      <c r="F50" s="30"/>
      <c r="G50" s="30"/>
      <c r="H50" s="30"/>
      <c r="I50" s="30"/>
      <c r="J50" s="42"/>
      <c r="K50" s="42"/>
      <c r="L50" s="30"/>
      <c r="M50" s="30"/>
    </row>
    <row r="51" customHeight="1" spans="2:13">
      <c r="B51" s="30"/>
      <c r="C51" s="30"/>
      <c r="D51" s="30"/>
      <c r="E51" s="30"/>
      <c r="F51" s="30"/>
      <c r="G51" s="30"/>
      <c r="H51" s="30"/>
      <c r="I51" s="30"/>
      <c r="J51" s="42"/>
      <c r="K51" s="42"/>
      <c r="L51" s="30"/>
      <c r="M51" s="30"/>
    </row>
    <row r="52" customHeight="1" spans="2:13">
      <c r="B52" s="30"/>
      <c r="C52" s="30"/>
      <c r="D52" s="30"/>
      <c r="E52" s="30"/>
      <c r="F52" s="30"/>
      <c r="G52" s="30"/>
      <c r="H52" s="30"/>
      <c r="I52" s="30"/>
      <c r="J52" s="42"/>
      <c r="K52" s="42"/>
      <c r="L52" s="30"/>
      <c r="M52" s="30"/>
    </row>
    <row r="53" customHeight="1" spans="2:13">
      <c r="B53" s="30"/>
      <c r="C53" s="30"/>
      <c r="D53" s="30"/>
      <c r="E53" s="30"/>
      <c r="F53" s="30"/>
      <c r="G53" s="30"/>
      <c r="H53" s="30"/>
      <c r="I53" s="30"/>
      <c r="J53" s="42"/>
      <c r="K53" s="42"/>
      <c r="L53" s="30"/>
      <c r="M53" s="30"/>
    </row>
    <row r="54" customHeight="1" spans="2:13">
      <c r="B54" s="30"/>
      <c r="C54" s="30"/>
      <c r="D54" s="30"/>
      <c r="E54" s="30"/>
      <c r="F54" s="30"/>
      <c r="G54" s="30"/>
      <c r="H54" s="30"/>
      <c r="I54" s="30"/>
      <c r="J54" s="42"/>
      <c r="K54" s="42"/>
      <c r="L54" s="30"/>
      <c r="M54" s="30"/>
    </row>
    <row r="55" customHeight="1" spans="2:13">
      <c r="B55" s="30"/>
      <c r="C55" s="30"/>
      <c r="D55" s="30"/>
      <c r="E55" s="30"/>
      <c r="F55" s="30"/>
      <c r="G55" s="30"/>
      <c r="H55" s="30"/>
      <c r="I55" s="30"/>
      <c r="J55" s="42"/>
      <c r="K55" s="42"/>
      <c r="L55" s="30"/>
      <c r="M55" s="30"/>
    </row>
    <row r="56" customHeight="1" spans="2:13">
      <c r="B56" s="30"/>
      <c r="C56" s="30"/>
      <c r="D56" s="30"/>
      <c r="E56" s="30"/>
      <c r="F56" s="30"/>
      <c r="G56" s="30"/>
      <c r="H56" s="30"/>
      <c r="I56" s="30"/>
      <c r="J56" s="42"/>
      <c r="K56" s="42"/>
      <c r="L56" s="30"/>
      <c r="M56" s="30"/>
    </row>
    <row r="57" customHeight="1" spans="2:13">
      <c r="B57" s="30"/>
      <c r="C57" s="30"/>
      <c r="D57" s="30"/>
      <c r="E57" s="30"/>
      <c r="F57" s="30"/>
      <c r="G57" s="30"/>
      <c r="H57" s="30"/>
      <c r="I57" s="30"/>
      <c r="J57" s="42"/>
      <c r="K57" s="42"/>
      <c r="L57" s="30"/>
      <c r="M57" s="30"/>
    </row>
    <row r="58" customHeight="1" spans="2:13">
      <c r="B58" s="30"/>
      <c r="C58" s="30"/>
      <c r="D58" s="30"/>
      <c r="E58" s="30"/>
      <c r="F58" s="30"/>
      <c r="G58" s="30"/>
      <c r="H58" s="30"/>
      <c r="I58" s="30"/>
      <c r="J58" s="42"/>
      <c r="K58" s="42"/>
      <c r="L58" s="30"/>
      <c r="M58" s="30"/>
    </row>
    <row r="59" customHeight="1" spans="2:13">
      <c r="B59" s="30"/>
      <c r="C59" s="30"/>
      <c r="D59" s="30"/>
      <c r="E59" s="30"/>
      <c r="F59" s="30"/>
      <c r="G59" s="30"/>
      <c r="H59" s="30"/>
      <c r="I59" s="30"/>
      <c r="J59" s="42"/>
      <c r="K59" s="42"/>
      <c r="L59" s="30"/>
      <c r="M59" s="30"/>
    </row>
    <row r="60" customHeight="1" spans="2:13">
      <c r="B60" s="30"/>
      <c r="C60" s="30"/>
      <c r="D60" s="30"/>
      <c r="E60" s="30"/>
      <c r="F60" s="30"/>
      <c r="G60" s="30"/>
      <c r="H60" s="30"/>
      <c r="I60" s="30"/>
      <c r="J60" s="42"/>
      <c r="K60" s="42"/>
      <c r="L60" s="30"/>
      <c r="M60" s="30"/>
    </row>
    <row r="61" customHeight="1" spans="2:13">
      <c r="B61" s="30"/>
      <c r="C61" s="30"/>
      <c r="D61" s="30"/>
      <c r="E61" s="30"/>
      <c r="F61" s="30"/>
      <c r="G61" s="30"/>
      <c r="H61" s="30"/>
      <c r="I61" s="30"/>
      <c r="J61" s="42"/>
      <c r="K61" s="42"/>
      <c r="L61" s="30"/>
      <c r="M61" s="30"/>
    </row>
    <row r="62" customHeight="1" spans="2:13">
      <c r="B62" s="30"/>
      <c r="C62" s="30"/>
      <c r="D62" s="30"/>
      <c r="E62" s="30"/>
      <c r="F62" s="30"/>
      <c r="G62" s="30"/>
      <c r="H62" s="30"/>
      <c r="I62" s="30"/>
      <c r="J62" s="42"/>
      <c r="K62" s="42"/>
      <c r="L62" s="30"/>
      <c r="M62" s="30"/>
    </row>
    <row r="63" customHeight="1" spans="2:13">
      <c r="B63" s="30"/>
      <c r="C63" s="30"/>
      <c r="D63" s="30"/>
      <c r="E63" s="30"/>
      <c r="F63" s="30"/>
      <c r="G63" s="30"/>
      <c r="H63" s="30"/>
      <c r="I63" s="30"/>
      <c r="J63" s="42"/>
      <c r="K63" s="42"/>
      <c r="L63" s="30"/>
      <c r="M63" s="30"/>
    </row>
    <row r="64" customHeight="1" spans="2:13">
      <c r="B64" s="30"/>
      <c r="C64" s="30"/>
      <c r="D64" s="30"/>
      <c r="E64" s="30"/>
      <c r="F64" s="30"/>
      <c r="G64" s="30"/>
      <c r="H64" s="30"/>
      <c r="I64" s="30"/>
      <c r="J64" s="42"/>
      <c r="K64" s="42"/>
      <c r="L64" s="30"/>
      <c r="M64" s="30"/>
    </row>
    <row r="65" customHeight="1" spans="2:13">
      <c r="B65" s="30"/>
      <c r="C65" s="30"/>
      <c r="D65" s="30"/>
      <c r="E65" s="30"/>
      <c r="F65" s="30"/>
      <c r="G65" s="30"/>
      <c r="H65" s="30"/>
      <c r="I65" s="30"/>
      <c r="J65" s="42"/>
      <c r="K65" s="42"/>
      <c r="L65" s="30"/>
      <c r="M65" s="30"/>
    </row>
    <row r="66" customHeight="1" spans="2:13">
      <c r="B66" s="30"/>
      <c r="C66" s="30"/>
      <c r="D66" s="30"/>
      <c r="E66" s="30"/>
      <c r="F66" s="30"/>
      <c r="G66" s="30"/>
      <c r="H66" s="30"/>
      <c r="I66" s="30"/>
      <c r="J66" s="42"/>
      <c r="K66" s="42"/>
      <c r="L66" s="30"/>
      <c r="M66" s="30"/>
    </row>
    <row r="67" customHeight="1" spans="2:13">
      <c r="B67" s="30"/>
      <c r="C67" s="30"/>
      <c r="D67" s="30"/>
      <c r="E67" s="30"/>
      <c r="F67" s="30"/>
      <c r="G67" s="30"/>
      <c r="H67" s="30"/>
      <c r="I67" s="30"/>
      <c r="J67" s="42"/>
      <c r="K67" s="42"/>
      <c r="L67" s="30"/>
      <c r="M67" s="30"/>
    </row>
    <row r="68" customHeight="1" spans="2:13">
      <c r="B68" s="30"/>
      <c r="C68" s="30"/>
      <c r="D68" s="30"/>
      <c r="E68" s="30"/>
      <c r="F68" s="30"/>
      <c r="G68" s="30"/>
      <c r="H68" s="30"/>
      <c r="I68" s="30"/>
      <c r="J68" s="42"/>
      <c r="K68" s="42"/>
      <c r="L68" s="30"/>
      <c r="M68" s="30"/>
    </row>
    <row r="69" customHeight="1" spans="2:13">
      <c r="B69" s="30"/>
      <c r="C69" s="30"/>
      <c r="D69" s="30"/>
      <c r="E69" s="30"/>
      <c r="F69" s="30"/>
      <c r="G69" s="30"/>
      <c r="H69" s="30"/>
      <c r="I69" s="30"/>
      <c r="J69" s="42"/>
      <c r="K69" s="42"/>
      <c r="L69" s="30"/>
      <c r="M69" s="30"/>
    </row>
    <row r="70" customHeight="1" spans="1:13">
      <c r="A70" s="30"/>
      <c r="B70" s="30"/>
      <c r="C70" s="30"/>
      <c r="D70" s="30"/>
      <c r="E70" s="30"/>
      <c r="F70" s="30"/>
      <c r="G70" s="30"/>
      <c r="H70" s="30"/>
      <c r="I70" s="30"/>
      <c r="J70" s="42"/>
      <c r="K70" s="42"/>
      <c r="L70" s="30"/>
      <c r="M70" s="30"/>
    </row>
    <row r="71" customHeight="1" spans="2:13">
      <c r="B71" s="30"/>
      <c r="C71" s="30"/>
      <c r="D71" s="30"/>
      <c r="E71" s="30"/>
      <c r="F71" s="30"/>
      <c r="G71" s="30"/>
      <c r="H71" s="30"/>
      <c r="I71" s="30"/>
      <c r="J71" s="42"/>
      <c r="K71" s="42"/>
      <c r="L71" s="30"/>
      <c r="M71" s="30"/>
    </row>
    <row r="72" customHeight="1" spans="2:13">
      <c r="B72" s="30"/>
      <c r="C72" s="30"/>
      <c r="D72" s="30"/>
      <c r="E72" s="30"/>
      <c r="F72" s="30"/>
      <c r="G72" s="30"/>
      <c r="H72" s="30"/>
      <c r="I72" s="30"/>
      <c r="J72" s="42"/>
      <c r="K72" s="42"/>
      <c r="L72" s="30"/>
      <c r="M72" s="30"/>
    </row>
    <row r="73" customHeight="1" spans="2:13">
      <c r="B73" s="30"/>
      <c r="C73" s="30"/>
      <c r="D73" s="30"/>
      <c r="E73" s="30"/>
      <c r="F73" s="30"/>
      <c r="G73" s="30"/>
      <c r="H73" s="30"/>
      <c r="I73" s="30"/>
      <c r="J73" s="42"/>
      <c r="K73" s="42"/>
      <c r="L73" s="30"/>
      <c r="M73" s="30"/>
    </row>
    <row r="74" customHeight="1" spans="2:13">
      <c r="B74" s="30"/>
      <c r="C74" s="30"/>
      <c r="D74" s="30"/>
      <c r="E74" s="30"/>
      <c r="F74" s="30"/>
      <c r="G74" s="30"/>
      <c r="H74" s="30"/>
      <c r="I74" s="30"/>
      <c r="J74" s="42"/>
      <c r="K74" s="42"/>
      <c r="L74" s="30"/>
      <c r="M74" s="30"/>
    </row>
    <row r="75" customHeight="1" spans="2:13">
      <c r="B75" s="30"/>
      <c r="C75" s="30"/>
      <c r="D75" s="30"/>
      <c r="E75" s="30"/>
      <c r="F75" s="30"/>
      <c r="G75" s="30"/>
      <c r="H75" s="30"/>
      <c r="I75" s="30"/>
      <c r="J75" s="42"/>
      <c r="K75" s="42"/>
      <c r="L75" s="30"/>
      <c r="M75" s="30"/>
    </row>
    <row r="76" customHeight="1" spans="2:13">
      <c r="B76" s="30"/>
      <c r="C76" s="30"/>
      <c r="D76" s="30"/>
      <c r="E76" s="30"/>
      <c r="F76" s="30"/>
      <c r="G76" s="30"/>
      <c r="H76" s="30"/>
      <c r="I76" s="30"/>
      <c r="J76" s="42"/>
      <c r="K76" s="42"/>
      <c r="L76" s="30"/>
      <c r="M76" s="30"/>
    </row>
    <row r="77" customHeight="1" spans="2:13">
      <c r="B77" s="30"/>
      <c r="C77" s="30"/>
      <c r="D77" s="30"/>
      <c r="E77" s="30"/>
      <c r="F77" s="30"/>
      <c r="G77" s="30"/>
      <c r="H77" s="30"/>
      <c r="I77" s="30"/>
      <c r="J77" s="42"/>
      <c r="K77" s="42"/>
      <c r="L77" s="30"/>
      <c r="M77" s="30"/>
    </row>
    <row r="78" customHeight="1" spans="2:13">
      <c r="B78" s="30"/>
      <c r="C78" s="30"/>
      <c r="D78" s="30"/>
      <c r="E78" s="30"/>
      <c r="F78" s="30"/>
      <c r="G78" s="30"/>
      <c r="H78" s="30"/>
      <c r="I78" s="30"/>
      <c r="J78" s="42"/>
      <c r="K78" s="42"/>
      <c r="L78" s="30"/>
      <c r="M78" s="30"/>
    </row>
    <row r="79" customHeight="1" spans="2:13">
      <c r="B79" s="30"/>
      <c r="C79" s="30"/>
      <c r="D79" s="30"/>
      <c r="E79" s="30"/>
      <c r="F79" s="30"/>
      <c r="G79" s="30"/>
      <c r="H79" s="30"/>
      <c r="I79" s="30"/>
      <c r="J79" s="42"/>
      <c r="K79" s="42"/>
      <c r="L79" s="30"/>
      <c r="M79" s="30"/>
    </row>
    <row r="80" customHeight="1" spans="2:13">
      <c r="B80" s="30"/>
      <c r="C80" s="30"/>
      <c r="D80" s="30"/>
      <c r="E80" s="30"/>
      <c r="F80" s="30"/>
      <c r="G80" s="30"/>
      <c r="H80" s="30"/>
      <c r="I80" s="30"/>
      <c r="J80" s="42"/>
      <c r="K80" s="42"/>
      <c r="L80" s="30"/>
      <c r="M80" s="30"/>
    </row>
    <row r="81" customHeight="1" spans="2:13">
      <c r="B81" s="30"/>
      <c r="C81" s="30"/>
      <c r="D81" s="30"/>
      <c r="E81" s="30"/>
      <c r="F81" s="30"/>
      <c r="G81" s="30"/>
      <c r="H81" s="30"/>
      <c r="I81" s="30"/>
      <c r="J81" s="42"/>
      <c r="K81" s="42"/>
      <c r="L81" s="30"/>
      <c r="M81" s="30"/>
    </row>
    <row r="82" customHeight="1" spans="2:13">
      <c r="B82" s="30"/>
      <c r="C82" s="30"/>
      <c r="D82" s="30"/>
      <c r="E82" s="30"/>
      <c r="F82" s="30"/>
      <c r="G82" s="30"/>
      <c r="H82" s="30"/>
      <c r="I82" s="30"/>
      <c r="J82" s="42"/>
      <c r="K82" s="42"/>
      <c r="L82" s="30"/>
      <c r="M82" s="30"/>
    </row>
    <row r="83" customHeight="1" spans="2:13">
      <c r="B83" s="30"/>
      <c r="C83" s="30"/>
      <c r="D83" s="30"/>
      <c r="E83" s="30"/>
      <c r="F83" s="30"/>
      <c r="G83" s="30"/>
      <c r="H83" s="30"/>
      <c r="I83" s="30"/>
      <c r="J83" s="42"/>
      <c r="K83" s="42"/>
      <c r="L83" s="30"/>
      <c r="M83" s="30"/>
    </row>
    <row r="84" customHeight="1" spans="2:13">
      <c r="B84" s="30"/>
      <c r="C84" s="30"/>
      <c r="D84" s="30"/>
      <c r="E84" s="30"/>
      <c r="F84" s="30"/>
      <c r="G84" s="30"/>
      <c r="H84" s="30"/>
      <c r="I84" s="30"/>
      <c r="J84" s="42"/>
      <c r="K84" s="42"/>
      <c r="L84" s="30"/>
      <c r="M84" s="30"/>
    </row>
    <row r="85" customHeight="1" spans="2:13">
      <c r="B85" s="30"/>
      <c r="C85" s="30"/>
      <c r="D85" s="30"/>
      <c r="E85" s="30"/>
      <c r="F85" s="30"/>
      <c r="G85" s="30"/>
      <c r="H85" s="30"/>
      <c r="I85" s="30"/>
      <c r="J85" s="42"/>
      <c r="K85" s="42"/>
      <c r="L85" s="30"/>
      <c r="M85" s="30"/>
    </row>
    <row r="86" customHeight="1" spans="2:13">
      <c r="B86" s="30"/>
      <c r="C86" s="30"/>
      <c r="D86" s="30"/>
      <c r="E86" s="30"/>
      <c r="F86" s="30"/>
      <c r="G86" s="30"/>
      <c r="H86" s="30"/>
      <c r="I86" s="30"/>
      <c r="J86" s="42"/>
      <c r="K86" s="42"/>
      <c r="L86" s="30"/>
      <c r="M86" s="30"/>
    </row>
    <row r="87" customHeight="1" spans="2:13">
      <c r="B87" s="30"/>
      <c r="C87" s="30"/>
      <c r="D87" s="30"/>
      <c r="E87" s="30"/>
      <c r="F87" s="30"/>
      <c r="G87" s="30"/>
      <c r="H87" s="30"/>
      <c r="I87" s="30"/>
      <c r="J87" s="42"/>
      <c r="K87" s="42"/>
      <c r="L87" s="30"/>
      <c r="M87" s="30"/>
    </row>
    <row r="88" customHeight="1" spans="2:13">
      <c r="B88" s="30"/>
      <c r="C88" s="30"/>
      <c r="D88" s="30"/>
      <c r="E88" s="30"/>
      <c r="F88" s="30"/>
      <c r="G88" s="30"/>
      <c r="H88" s="30"/>
      <c r="I88" s="30"/>
      <c r="J88" s="42"/>
      <c r="K88" s="42"/>
      <c r="L88" s="30"/>
      <c r="M88" s="30"/>
    </row>
    <row r="89" customHeight="1" spans="2:13">
      <c r="B89" s="30"/>
      <c r="C89" s="30"/>
      <c r="D89" s="30"/>
      <c r="E89" s="30"/>
      <c r="F89" s="30"/>
      <c r="G89" s="30"/>
      <c r="H89" s="30"/>
      <c r="I89" s="30"/>
      <c r="J89" s="42"/>
      <c r="K89" s="42"/>
      <c r="L89" s="30"/>
      <c r="M89" s="30"/>
    </row>
    <row r="90" customHeight="1" spans="2:13">
      <c r="B90" s="30"/>
      <c r="C90" s="30"/>
      <c r="D90" s="30"/>
      <c r="E90" s="30"/>
      <c r="F90" s="30"/>
      <c r="G90" s="30"/>
      <c r="H90" s="30"/>
      <c r="I90" s="30"/>
      <c r="J90" s="42"/>
      <c r="K90" s="42"/>
      <c r="L90" s="30"/>
      <c r="M90" s="30"/>
    </row>
    <row r="91" customHeight="1" spans="2:13">
      <c r="B91" s="30"/>
      <c r="C91" s="30"/>
      <c r="D91" s="30"/>
      <c r="E91" s="30"/>
      <c r="F91" s="30"/>
      <c r="G91" s="30"/>
      <c r="H91" s="30"/>
      <c r="I91" s="30"/>
      <c r="J91" s="42"/>
      <c r="K91" s="42"/>
      <c r="L91" s="30"/>
      <c r="M91" s="30"/>
    </row>
    <row r="92" customHeight="1" spans="2:13">
      <c r="B92" s="30"/>
      <c r="C92" s="30"/>
      <c r="D92" s="30"/>
      <c r="E92" s="30"/>
      <c r="F92" s="30"/>
      <c r="G92" s="30"/>
      <c r="H92" s="30"/>
      <c r="I92" s="30"/>
      <c r="J92" s="42"/>
      <c r="K92" s="42"/>
      <c r="L92" s="30"/>
      <c r="M92" s="30"/>
    </row>
    <row r="93" customHeight="1" spans="2:13">
      <c r="B93" s="30"/>
      <c r="C93" s="30"/>
      <c r="D93" s="30"/>
      <c r="E93" s="30"/>
      <c r="F93" s="30"/>
      <c r="G93" s="30"/>
      <c r="H93" s="30"/>
      <c r="I93" s="30"/>
      <c r="J93" s="42"/>
      <c r="K93" s="42"/>
      <c r="L93" s="30"/>
      <c r="M93" s="30"/>
    </row>
    <row r="94" customHeight="1" spans="2:13">
      <c r="B94" s="30"/>
      <c r="C94" s="30"/>
      <c r="D94" s="30"/>
      <c r="E94" s="30"/>
      <c r="F94" s="30"/>
      <c r="G94" s="30"/>
      <c r="H94" s="30"/>
      <c r="I94" s="30"/>
      <c r="J94" s="42"/>
      <c r="K94" s="42"/>
      <c r="L94" s="30"/>
      <c r="M94" s="30"/>
    </row>
    <row r="95" customHeight="1" spans="2:13">
      <c r="B95" s="30"/>
      <c r="C95" s="30"/>
      <c r="D95" s="30"/>
      <c r="E95" s="30"/>
      <c r="F95" s="30"/>
      <c r="G95" s="30"/>
      <c r="H95" s="30"/>
      <c r="I95" s="30"/>
      <c r="J95" s="42"/>
      <c r="K95" s="42"/>
      <c r="L95" s="30"/>
      <c r="M95" s="30"/>
    </row>
    <row r="96" customHeight="1" spans="2:13">
      <c r="B96" s="30"/>
      <c r="C96" s="30"/>
      <c r="D96" s="30"/>
      <c r="E96" s="30"/>
      <c r="F96" s="30"/>
      <c r="G96" s="30"/>
      <c r="H96" s="30"/>
      <c r="I96" s="30"/>
      <c r="J96" s="42"/>
      <c r="K96" s="42"/>
      <c r="L96" s="30"/>
      <c r="M96" s="30"/>
    </row>
    <row r="97" customHeight="1" spans="2:13">
      <c r="B97" s="30"/>
      <c r="C97" s="30"/>
      <c r="D97" s="30"/>
      <c r="E97" s="30"/>
      <c r="F97" s="30"/>
      <c r="G97" s="30"/>
      <c r="H97" s="30"/>
      <c r="I97" s="30"/>
      <c r="J97" s="42"/>
      <c r="K97" s="42"/>
      <c r="L97" s="30"/>
      <c r="M97" s="30"/>
    </row>
    <row r="98" customHeight="1" spans="1:13">
      <c r="A98" s="30"/>
      <c r="B98" s="30"/>
      <c r="C98" s="30"/>
      <c r="D98" s="30"/>
      <c r="E98" s="30"/>
      <c r="F98" s="30"/>
      <c r="G98" s="30"/>
      <c r="H98" s="30"/>
      <c r="I98" s="30"/>
      <c r="J98" s="42"/>
      <c r="K98" s="42"/>
      <c r="L98" s="30"/>
      <c r="M98" s="30"/>
    </row>
    <row r="99" customHeight="1" spans="2:13">
      <c r="B99" s="30"/>
      <c r="C99" s="30"/>
      <c r="D99" s="30"/>
      <c r="E99" s="30"/>
      <c r="F99" s="30"/>
      <c r="G99" s="30"/>
      <c r="H99" s="30"/>
      <c r="I99" s="30"/>
      <c r="J99" s="42"/>
      <c r="K99" s="42"/>
      <c r="L99" s="30"/>
      <c r="M99" s="30"/>
    </row>
    <row r="100" customHeight="1" spans="2:13">
      <c r="B100" s="30"/>
      <c r="C100" s="30"/>
      <c r="D100" s="30"/>
      <c r="E100" s="30"/>
      <c r="F100" s="30"/>
      <c r="G100" s="30"/>
      <c r="H100" s="30"/>
      <c r="I100" s="30"/>
      <c r="J100" s="42"/>
      <c r="K100" s="42"/>
      <c r="L100" s="30"/>
      <c r="M100" s="30"/>
    </row>
    <row r="101" customHeight="1" spans="2:13">
      <c r="B101" s="30"/>
      <c r="C101" s="30"/>
      <c r="D101" s="30"/>
      <c r="E101" s="30"/>
      <c r="F101" s="30"/>
      <c r="G101" s="30"/>
      <c r="H101" s="30"/>
      <c r="I101" s="30"/>
      <c r="J101" s="42"/>
      <c r="K101" s="42"/>
      <c r="L101" s="30"/>
      <c r="M101" s="30"/>
    </row>
    <row r="102" customHeight="1" spans="2:13">
      <c r="B102" s="30"/>
      <c r="C102" s="30"/>
      <c r="D102" s="30"/>
      <c r="E102" s="30"/>
      <c r="F102" s="30"/>
      <c r="G102" s="30"/>
      <c r="H102" s="30"/>
      <c r="I102" s="30"/>
      <c r="J102" s="42"/>
      <c r="K102" s="42"/>
      <c r="L102" s="30"/>
      <c r="M102" s="30"/>
    </row>
    <row r="103" customHeight="1" spans="2:13">
      <c r="B103" s="30"/>
      <c r="C103" s="30"/>
      <c r="D103" s="30"/>
      <c r="E103" s="30"/>
      <c r="F103" s="30"/>
      <c r="G103" s="30"/>
      <c r="H103" s="30"/>
      <c r="I103" s="30"/>
      <c r="J103" s="42"/>
      <c r="K103" s="42"/>
      <c r="L103" s="30"/>
      <c r="M103" s="30"/>
    </row>
    <row r="104" customHeight="1" spans="2:13">
      <c r="B104" s="30"/>
      <c r="C104" s="30"/>
      <c r="D104" s="30"/>
      <c r="E104" s="30"/>
      <c r="F104" s="30"/>
      <c r="G104" s="30"/>
      <c r="H104" s="30"/>
      <c r="I104" s="30"/>
      <c r="J104" s="42"/>
      <c r="K104" s="42"/>
      <c r="L104" s="30"/>
      <c r="M104" s="30"/>
    </row>
    <row r="105" customHeight="1" spans="2:13">
      <c r="B105" s="30"/>
      <c r="C105" s="30"/>
      <c r="D105" s="30"/>
      <c r="E105" s="30"/>
      <c r="F105" s="30"/>
      <c r="G105" s="30"/>
      <c r="H105" s="30"/>
      <c r="I105" s="30"/>
      <c r="J105" s="42"/>
      <c r="K105" s="42"/>
      <c r="L105" s="30"/>
      <c r="M105" s="30"/>
    </row>
    <row r="106" customHeight="1" spans="2:13">
      <c r="B106" s="30"/>
      <c r="C106" s="30"/>
      <c r="D106" s="30"/>
      <c r="E106" s="30"/>
      <c r="F106" s="30"/>
      <c r="G106" s="30"/>
      <c r="H106" s="30"/>
      <c r="I106" s="30"/>
      <c r="J106" s="42"/>
      <c r="K106" s="42"/>
      <c r="L106" s="30"/>
      <c r="M106" s="30"/>
    </row>
    <row r="107" customHeight="1" spans="2:13">
      <c r="B107" s="30"/>
      <c r="C107" s="30"/>
      <c r="D107" s="30"/>
      <c r="E107" s="30"/>
      <c r="F107" s="30"/>
      <c r="G107" s="30"/>
      <c r="H107" s="30"/>
      <c r="I107" s="30"/>
      <c r="J107" s="42"/>
      <c r="K107" s="42"/>
      <c r="L107" s="30"/>
      <c r="M107" s="30"/>
    </row>
    <row r="108" customHeight="1" spans="2:13">
      <c r="B108" s="30"/>
      <c r="C108" s="30"/>
      <c r="D108" s="30"/>
      <c r="E108" s="30"/>
      <c r="F108" s="30"/>
      <c r="G108" s="30"/>
      <c r="H108" s="30"/>
      <c r="I108" s="30"/>
      <c r="J108" s="42"/>
      <c r="K108" s="42"/>
      <c r="L108" s="30"/>
      <c r="M108" s="30"/>
    </row>
    <row r="109" customHeight="1" spans="2:13">
      <c r="B109" s="30"/>
      <c r="C109" s="30"/>
      <c r="D109" s="30"/>
      <c r="E109" s="30"/>
      <c r="F109" s="30"/>
      <c r="G109" s="30"/>
      <c r="H109" s="30"/>
      <c r="I109" s="30"/>
      <c r="J109" s="42"/>
      <c r="K109" s="42"/>
      <c r="L109" s="30"/>
      <c r="M109" s="30"/>
    </row>
    <row r="110" customHeight="1" spans="2:13">
      <c r="B110" s="30"/>
      <c r="C110" s="30"/>
      <c r="D110" s="30"/>
      <c r="E110" s="30"/>
      <c r="F110" s="30"/>
      <c r="G110" s="30"/>
      <c r="H110" s="30"/>
      <c r="I110" s="30"/>
      <c r="J110" s="42"/>
      <c r="K110" s="42"/>
      <c r="L110" s="30"/>
      <c r="M110" s="30"/>
    </row>
    <row r="111" customHeight="1" spans="2:13">
      <c r="B111" s="30"/>
      <c r="C111" s="30"/>
      <c r="D111" s="30"/>
      <c r="E111" s="30"/>
      <c r="F111" s="30"/>
      <c r="G111" s="30"/>
      <c r="H111" s="30"/>
      <c r="I111" s="30"/>
      <c r="J111" s="42"/>
      <c r="K111" s="42"/>
      <c r="L111" s="30"/>
      <c r="M111" s="30"/>
    </row>
    <row r="112" customHeight="1" spans="2:13">
      <c r="B112" s="30"/>
      <c r="C112" s="30"/>
      <c r="D112" s="30"/>
      <c r="E112" s="30"/>
      <c r="F112" s="30"/>
      <c r="G112" s="30"/>
      <c r="H112" s="30"/>
      <c r="I112" s="30"/>
      <c r="J112" s="42"/>
      <c r="K112" s="42"/>
      <c r="L112" s="30"/>
      <c r="M112" s="30"/>
    </row>
  </sheetData>
  <mergeCells count="7">
    <mergeCell ref="C9:L9"/>
    <mergeCell ref="P9:S9"/>
    <mergeCell ref="W9:Y9"/>
    <mergeCell ref="AC9:AE9"/>
    <mergeCell ref="P10:S10"/>
    <mergeCell ref="W10:Y10"/>
    <mergeCell ref="AC10:AE10"/>
  </mergeCells>
  <pageMargins left="0.393700787401575" right="0.196850393700787" top="0.196850393700787" bottom="0.196850393700787" header="0.31496062992126" footer="0.31496062992126"/>
  <pageSetup paperSize="1" scale="70" orientation="portrait" horizontalDpi="300" verticalDpi="300"/>
  <headerFooter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48" master=""/>
  <rangeList sheetStid="1" master="">
    <arrUserId title="Rango1" rangeCreator="" othersAccessPermission="edit"/>
    <arrUserId title="Rango1_1" rangeCreator="" othersAccessPermission="edit"/>
    <arrUserId title="Rango1_7" rangeCreator="" othersAccessPermission="edit"/>
    <arrUserId title="Rango1_1_5" rangeCreator="" othersAccessPermission="edit"/>
    <arrUserId title="Rango1_8" rangeCreator="" othersAccessPermission="edit"/>
    <arrUserId title="Rango1_9" rangeCreator="" othersAccessPermission="edit"/>
    <arrUserId title="Rango1_2_1" rangeCreator="" othersAccessPermission="edit"/>
    <arrUserId title="Rango1_10" rangeCreator="" othersAccessPermission="edit"/>
    <arrUserId title="Rango1_1_6" rangeCreator="" othersAccessPermission="edit"/>
    <arrUserId title="Rango1_11" rangeCreator="" othersAccessPermission="edit"/>
    <arrUserId title="Rango1_1_7" rangeCreator="" othersAccessPermission="edit"/>
    <arrUserId title="Rango1_12" rangeCreator="" othersAccessPermission="edit"/>
    <arrUserId title="Rango1_1_8" rangeCreator="" othersAccessPermission="edit"/>
    <arrUserId title="Rango1_13" rangeCreator="" othersAccessPermission="edit"/>
    <arrUserId title="Rango1_1_9" rangeCreator="" othersAccessPermission="edit"/>
    <arrUserId title="Rango1_14" rangeCreator="" othersAccessPermission="edit"/>
    <arrUserId title="Rango1_1_10" rangeCreator="" othersAccessPermission="edit"/>
    <arrUserId title="Rango1_15" rangeCreator="" othersAccessPermission="edit"/>
    <arrUserId title="Rango1_1_11" rangeCreator="" othersAccessPermission="edit"/>
    <arrUserId title="Rango1_16" rangeCreator="" othersAccessPermission="edit"/>
    <arrUserId title="Rango1_1_12" rangeCreator="" othersAccessPermission="edit"/>
    <arrUserId title="Rango1_17" rangeCreator="" othersAccessPermission="edit"/>
    <arrUserId title="Rango1_1_13" rangeCreator="" othersAccessPermission="edit"/>
    <arrUserId title="Rango1_18" rangeCreator="" othersAccessPermission="edit"/>
    <arrUserId title="Rango1_1_14" rangeCreator="" othersAccessPermission="edit"/>
    <arrUserId title="Rango1_1_15" rangeCreator="" othersAccessPermission="edit"/>
    <arrUserId title="Rango1_22" rangeCreator="" othersAccessPermission="edit"/>
    <arrUserId title="Rango1_1_1_1" rangeCreator="" othersAccessPermission="edit"/>
  </rangeList>
  <rangeList sheetStid="14" master=""/>
  <rangeList sheetStid="46" master="">
    <arrUserId title="TITULO" rangeCreator="" othersAccessPermission="edit"/>
    <arrUserId title="TABLA" rangeCreator="" othersAccessPermission="edit"/>
  </rangeList>
  <rangeList sheetStid="17" master="">
    <arrUserId title="Rango1" rangeCreator="" othersAccessPermission="edit"/>
  </rangeList>
  <rangeList sheetStid="37" master=""/>
  <rangeList sheetStid="62" master=""/>
  <rangeList sheetStid="29" master=""/>
  <rangeList sheetStid="63" master=""/>
  <rangeList sheetStid="64" master=""/>
  <rangeList sheetStid="65" master=""/>
  <rangeList sheetStid="66" master=""/>
  <rangeList sheetStid="67" master=""/>
  <rangeList sheetStid="68" master=""/>
  <rangeList sheetStid="69" master=""/>
  <rangeList sheetStid="70" master=""/>
  <rangeList sheetStid="71" master=""/>
  <rangeList sheetStid="72" master=""/>
  <rangeList sheetStid="73" master=""/>
  <rangeList sheetStid="74" master=""/>
  <rangeList sheetStid="75" master=""/>
  <rangeList sheetStid="76" master=""/>
  <rangeList sheetStid="38" master="">
    <arrUserId title="Rango1" rangeCreator="" othersAccessPermission="edit"/>
  </rangeList>
  <rangeList sheetStid="85" master=""/>
  <rangeList sheetStid="84" master=""/>
  <rangeList sheetStid="83" master=""/>
  <rangeList sheetStid="82" master=""/>
  <rangeList sheetStid="81" master=""/>
  <rangeList sheetStid="80" master=""/>
  <rangeList sheetStid="79" master=""/>
  <rangeList sheetStid="78" master=""/>
  <rangeList sheetStid="77" master=""/>
  <rangeList sheetStid="47" master="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JUGADORES</vt:lpstr>
      <vt:lpstr>A</vt:lpstr>
      <vt:lpstr>GRUPO A</vt:lpstr>
      <vt:lpstr>TARJETAS</vt:lpstr>
      <vt:lpstr>GENERAL</vt:lpstr>
      <vt:lpstr>CUADRANGULARES</vt:lpstr>
      <vt:lpstr>1</vt:lpstr>
      <vt:lpstr>C1</vt:lpstr>
      <vt:lpstr>2</vt:lpstr>
      <vt:lpstr>C2</vt:lpstr>
      <vt:lpstr>3</vt:lpstr>
      <vt:lpstr>C3</vt:lpstr>
      <vt:lpstr>4</vt:lpstr>
      <vt:lpstr>C4</vt:lpstr>
      <vt:lpstr>5</vt:lpstr>
      <vt:lpstr>C5</vt:lpstr>
      <vt:lpstr>6</vt:lpstr>
      <vt:lpstr>C6</vt:lpstr>
      <vt:lpstr>7</vt:lpstr>
      <vt:lpstr>C7</vt:lpstr>
      <vt:lpstr>8</vt:lpstr>
      <vt:lpstr>C8</vt:lpstr>
      <vt:lpstr>FINALES</vt:lpstr>
      <vt:lpstr>23 ABR</vt:lpstr>
      <vt:lpstr>9 ABR</vt:lpstr>
      <vt:lpstr>2 ABR</vt:lpstr>
      <vt:lpstr>26 MAR</vt:lpstr>
      <vt:lpstr>19 MAR</vt:lpstr>
      <vt:lpstr>12 MAR</vt:lpstr>
      <vt:lpstr>5 MAR</vt:lpstr>
      <vt:lpstr>26 FEB</vt:lpstr>
      <vt:lpstr>19 FEB</vt:lpstr>
      <vt:lpstr>12 FEB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sergi</cp:lastModifiedBy>
  <dcterms:created xsi:type="dcterms:W3CDTF">2012-06-25T16:56:00Z</dcterms:created>
  <cp:lastPrinted>2022-04-23T17:49:00Z</cp:lastPrinted>
  <dcterms:modified xsi:type="dcterms:W3CDTF">2022-06-30T03:19:19Z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ED15632194D548208A6FB8635A6DA951</vt:lpwstr>
  </property>
  <property fmtid="{D5CDD505-2E9C-101B-9397-08002B2CF9AE}" pid="3" name="KSOProductBuildVer">
    <vt:lpwstr>1033-11.2.0.11156</vt:lpwstr>
  </property>
</Properties>
</file>