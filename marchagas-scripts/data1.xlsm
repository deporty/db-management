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ropbox\TORNEOS MARCHAGAS\FIXTURE E INFORMES\XXXII TORNEO MARCHAGAS (B2)\"/>
    </mc:Choice>
  </mc:AlternateContent>
  <xr:revisionPtr revIDLastSave="0" documentId="13_ncr:1_{DF96879D-BF64-4ADC-AA02-46386717FA0F}" xr6:coauthVersionLast="45" xr6:coauthVersionMax="45" xr10:uidLastSave="{00000000-0000-0000-0000-000000000000}"/>
  <bookViews>
    <workbookView xWindow="-120" yWindow="-120" windowWidth="29040" windowHeight="15840" tabRatio="963" xr2:uid="{00000000-000D-0000-FFFF-FFFF00000000}"/>
  </bookViews>
  <sheets>
    <sheet name="DIR" sheetId="13" r:id="rId1"/>
    <sheet name="JUGADORES" sheetId="48" r:id="rId2"/>
    <sheet name="A" sheetId="1" r:id="rId3"/>
    <sheet name="GRUPO A" sheetId="14" r:id="rId4"/>
    <sheet name="B" sheetId="49" r:id="rId5"/>
    <sheet name="GRUPO B" sheetId="50" r:id="rId6"/>
    <sheet name="C" sheetId="51" r:id="rId7"/>
    <sheet name="GRUPO C" sheetId="52" r:id="rId8"/>
    <sheet name="D" sheetId="53" r:id="rId9"/>
    <sheet name="GRUPO D" sheetId="54" r:id="rId10"/>
    <sheet name="TARJETAS" sheetId="46" r:id="rId11"/>
    <sheet name="GENERAL" sheetId="17" r:id="rId12"/>
    <sheet name="CUADRANGULARES" sheetId="37" r:id="rId13"/>
    <sheet name="1" sheetId="62" r:id="rId14"/>
    <sheet name="C1" sheetId="29" r:id="rId15"/>
    <sheet name="2" sheetId="63" r:id="rId16"/>
    <sheet name="C2" sheetId="64" r:id="rId17"/>
    <sheet name="3" sheetId="65" r:id="rId18"/>
    <sheet name="C3" sheetId="66" r:id="rId19"/>
    <sheet name="4" sheetId="67" r:id="rId20"/>
    <sheet name="C4" sheetId="68" r:id="rId21"/>
    <sheet name="5" sheetId="69" r:id="rId22"/>
    <sheet name="C5" sheetId="70" r:id="rId23"/>
    <sheet name="6" sheetId="71" r:id="rId24"/>
    <sheet name="C6" sheetId="72" r:id="rId25"/>
    <sheet name="7" sheetId="73" r:id="rId26"/>
    <sheet name="C7" sheetId="74" r:id="rId27"/>
    <sheet name="8" sheetId="75" r:id="rId28"/>
    <sheet name="C8" sheetId="76" r:id="rId29"/>
    <sheet name="FINALES" sheetId="38" r:id="rId30"/>
    <sheet name="23 Y 24 JUL" sheetId="85" r:id="rId31"/>
    <sheet name="17 JUL" sheetId="47" r:id="rId32"/>
  </sheets>
  <externalReferences>
    <externalReference r:id="rId33"/>
  </externalReferences>
  <definedNames>
    <definedName name="_xlnm._FilterDatabase" localSheetId="13" hidden="1">'1'!#REF!</definedName>
    <definedName name="_xlnm._FilterDatabase" localSheetId="15" hidden="1">'2'!#REF!</definedName>
    <definedName name="_xlnm._FilterDatabase" localSheetId="17" hidden="1">'3'!#REF!</definedName>
    <definedName name="_xlnm._FilterDatabase" localSheetId="19" hidden="1">'4'!#REF!</definedName>
    <definedName name="_xlnm._FilterDatabase" localSheetId="21" hidden="1">'5'!#REF!</definedName>
    <definedName name="_xlnm._FilterDatabase" localSheetId="23" hidden="1">'6'!#REF!</definedName>
    <definedName name="_xlnm._FilterDatabase" localSheetId="25" hidden="1">'7'!#REF!</definedName>
    <definedName name="_xlnm._FilterDatabase" localSheetId="27" hidden="1">'8'!#REF!</definedName>
    <definedName name="_xlnm._FilterDatabase" localSheetId="14" hidden="1">'C1'!$D$4:$L$8</definedName>
    <definedName name="_xlnm._FilterDatabase" localSheetId="16" hidden="1">'C2'!$D$4:$L$8</definedName>
    <definedName name="_xlnm._FilterDatabase" localSheetId="18" hidden="1">'C3'!$D$4:$L$8</definedName>
    <definedName name="_xlnm._FilterDatabase" localSheetId="20" hidden="1">'C4'!$D$4:$L$8</definedName>
    <definedName name="_xlnm._FilterDatabase" localSheetId="22" hidden="1">'C5'!$D$4:$L$8</definedName>
    <definedName name="_xlnm._FilterDatabase" localSheetId="24" hidden="1">'C6'!$D$4:$L$8</definedName>
    <definedName name="_xlnm._FilterDatabase" localSheetId="26" hidden="1">'C7'!$D$4:$L$8</definedName>
    <definedName name="_xlnm._FilterDatabase" localSheetId="28" hidden="1">'C8'!$D$4:$L$8</definedName>
    <definedName name="_xlnm._FilterDatabase" localSheetId="10" hidden="1">TARJETAS!$A$5:$E$5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46" l="1"/>
  <c r="D19" i="46"/>
  <c r="D20" i="46"/>
  <c r="D15" i="46"/>
  <c r="D16" i="46"/>
  <c r="D11" i="46"/>
  <c r="D10" i="46"/>
  <c r="D9" i="46"/>
  <c r="D8" i="46"/>
  <c r="D12" i="46"/>
  <c r="D18" i="46"/>
  <c r="D17" i="46"/>
  <c r="D22" i="46"/>
  <c r="D21" i="46"/>
  <c r="D14" i="46"/>
  <c r="B67" i="48" l="1"/>
  <c r="B55" i="48"/>
  <c r="B49" i="48"/>
  <c r="B58" i="48"/>
  <c r="B52" i="48"/>
  <c r="B57" i="48"/>
  <c r="B53" i="48"/>
  <c r="B54" i="48"/>
  <c r="B59" i="48"/>
  <c r="B51" i="48"/>
  <c r="B50" i="48"/>
  <c r="B56" i="48"/>
  <c r="B86" i="48"/>
  <c r="B87" i="48"/>
  <c r="B85" i="48"/>
  <c r="B84" i="48"/>
  <c r="B82" i="48"/>
  <c r="B83" i="48"/>
  <c r="C13" i="46" s="1"/>
  <c r="B89" i="48"/>
  <c r="B88" i="48"/>
  <c r="B176" i="48"/>
  <c r="B169" i="48"/>
  <c r="C19" i="46" s="1"/>
  <c r="B174" i="48"/>
  <c r="B172" i="48"/>
  <c r="C20" i="46" s="1"/>
  <c r="B171" i="48"/>
  <c r="B175" i="48"/>
  <c r="B170" i="48"/>
  <c r="B173" i="48"/>
  <c r="B140" i="48"/>
  <c r="B135" i="48"/>
  <c r="B97" i="48"/>
  <c r="B90" i="48"/>
  <c r="B92" i="48"/>
  <c r="B98" i="48"/>
  <c r="B94" i="48"/>
  <c r="B95" i="48"/>
  <c r="B93" i="48"/>
  <c r="B96" i="48"/>
  <c r="B91" i="48"/>
  <c r="B75" i="48"/>
  <c r="B78" i="48"/>
  <c r="B74" i="48"/>
  <c r="B146" i="48"/>
  <c r="B151" i="48"/>
  <c r="B153" i="48"/>
  <c r="B149" i="48"/>
  <c r="B150" i="48"/>
  <c r="B148" i="48"/>
  <c r="B145" i="48"/>
  <c r="B147" i="48"/>
  <c r="B152" i="48"/>
  <c r="B163" i="48"/>
  <c r="B165" i="48"/>
  <c r="B168" i="48"/>
  <c r="B162" i="48"/>
  <c r="B166" i="48"/>
  <c r="B164" i="48"/>
  <c r="B167" i="48"/>
  <c r="B215" i="48"/>
  <c r="B206" i="48"/>
  <c r="B217" i="48"/>
  <c r="B211" i="48"/>
  <c r="B204" i="48"/>
  <c r="B122" i="48"/>
  <c r="B127" i="48"/>
  <c r="B126" i="48"/>
  <c r="B129" i="48"/>
  <c r="B130" i="48"/>
  <c r="C15" i="46" s="1"/>
  <c r="B131" i="48"/>
  <c r="C16" i="46" s="1"/>
  <c r="B22" i="48"/>
  <c r="B43" i="48"/>
  <c r="B41" i="48"/>
  <c r="B38" i="48"/>
  <c r="B37" i="48"/>
  <c r="B119" i="48"/>
  <c r="B5" i="48"/>
  <c r="B3" i="48"/>
  <c r="B194" i="48"/>
  <c r="B201" i="48"/>
  <c r="B200" i="48"/>
  <c r="B195" i="48"/>
  <c r="B196" i="48"/>
  <c r="B199" i="48"/>
  <c r="B198" i="48"/>
  <c r="B197" i="48"/>
  <c r="B202" i="48"/>
  <c r="B35" i="48"/>
  <c r="B28" i="48"/>
  <c r="C12" i="46" s="1"/>
  <c r="B33" i="48"/>
  <c r="B34" i="48"/>
  <c r="B29" i="48"/>
  <c r="B32" i="48"/>
  <c r="B31" i="48"/>
  <c r="B27" i="48"/>
  <c r="B30" i="48"/>
  <c r="B159" i="48"/>
  <c r="B160" i="48"/>
  <c r="C18" i="46" s="1"/>
  <c r="B154" i="48"/>
  <c r="B161" i="48"/>
  <c r="B157" i="48"/>
  <c r="B156" i="48"/>
  <c r="C17" i="46" s="1"/>
  <c r="B155" i="48"/>
  <c r="B158" i="48"/>
  <c r="B183" i="48"/>
  <c r="B179" i="48"/>
  <c r="C22" i="46" s="1"/>
  <c r="B184" i="48"/>
  <c r="B185" i="48"/>
  <c r="B186" i="48"/>
  <c r="B178" i="48"/>
  <c r="B182" i="48"/>
  <c r="B180" i="48"/>
  <c r="B181" i="48"/>
  <c r="B177" i="48"/>
  <c r="C21" i="46" s="1"/>
  <c r="B103" i="48"/>
  <c r="B102" i="48"/>
  <c r="B101" i="48"/>
  <c r="B99" i="48"/>
  <c r="B105" i="48"/>
  <c r="B108" i="48"/>
  <c r="C14" i="46" s="1"/>
  <c r="B107" i="48"/>
  <c r="B106" i="48"/>
  <c r="B100" i="48"/>
  <c r="B104" i="48"/>
  <c r="B109" i="48"/>
  <c r="B110" i="48"/>
  <c r="I111" i="85" l="1"/>
  <c r="H111" i="85"/>
  <c r="G111" i="85"/>
  <c r="F111" i="85"/>
  <c r="E111" i="85"/>
  <c r="D111" i="85"/>
  <c r="I83" i="85"/>
  <c r="H83" i="85"/>
  <c r="G83" i="85"/>
  <c r="F83" i="85"/>
  <c r="E83" i="85"/>
  <c r="D83" i="85"/>
  <c r="I55" i="85"/>
  <c r="H55" i="85"/>
  <c r="G55" i="85"/>
  <c r="F55" i="85"/>
  <c r="E55" i="85"/>
  <c r="D55" i="85"/>
  <c r="I27" i="85"/>
  <c r="H27" i="85"/>
  <c r="G27" i="85"/>
  <c r="F27" i="85"/>
  <c r="E27" i="85"/>
  <c r="D27" i="85"/>
  <c r="AH11" i="85"/>
  <c r="AI11" i="85" l="1"/>
  <c r="D23" i="46" l="1"/>
  <c r="D7" i="46"/>
  <c r="B191" i="48"/>
  <c r="B192" i="48"/>
  <c r="B193" i="48"/>
  <c r="B187" i="48"/>
  <c r="C23" i="46" s="1"/>
  <c r="B190" i="48"/>
  <c r="B188" i="48"/>
  <c r="B189" i="48"/>
  <c r="B114" i="48"/>
  <c r="B117" i="48"/>
  <c r="B111" i="48"/>
  <c r="C7" i="46" s="1"/>
  <c r="B113" i="48"/>
  <c r="B118" i="48"/>
  <c r="B112" i="48"/>
  <c r="B116" i="48"/>
  <c r="B115" i="48"/>
  <c r="B23" i="48"/>
  <c r="B20" i="48"/>
  <c r="B19" i="48"/>
  <c r="B16" i="48"/>
  <c r="B17" i="48"/>
  <c r="C10" i="46" s="1"/>
  <c r="B21" i="48"/>
  <c r="B25" i="48"/>
  <c r="B26" i="48"/>
  <c r="C11" i="46" s="1"/>
  <c r="B15" i="48"/>
  <c r="C9" i="46" s="1"/>
  <c r="B18" i="48"/>
  <c r="B24" i="48"/>
  <c r="B203" i="48"/>
  <c r="B207" i="48"/>
  <c r="B210" i="48"/>
  <c r="B212" i="48"/>
  <c r="B216" i="48"/>
  <c r="B205" i="48"/>
  <c r="B213" i="48"/>
  <c r="B208" i="48"/>
  <c r="B209" i="48"/>
  <c r="B214" i="48"/>
  <c r="B123" i="48"/>
  <c r="B132" i="48"/>
  <c r="B120" i="48"/>
  <c r="B128" i="48"/>
  <c r="B125" i="48"/>
  <c r="B124" i="48"/>
  <c r="B121" i="48"/>
  <c r="B68" i="48"/>
  <c r="B69" i="48"/>
  <c r="B61" i="48"/>
  <c r="B62" i="48"/>
  <c r="B70" i="48"/>
  <c r="B63" i="48"/>
  <c r="B65" i="48"/>
  <c r="B64" i="48"/>
  <c r="B66" i="48"/>
  <c r="B60" i="48"/>
  <c r="B2" i="48"/>
  <c r="B4" i="48"/>
  <c r="B7" i="48"/>
  <c r="B10" i="48"/>
  <c r="B9" i="48"/>
  <c r="B8" i="48"/>
  <c r="C8" i="46" s="1"/>
  <c r="B14" i="48"/>
  <c r="B11" i="48"/>
  <c r="B13" i="48"/>
  <c r="B6" i="48"/>
  <c r="B12" i="48"/>
  <c r="B138" i="48"/>
  <c r="B134" i="48"/>
  <c r="B137" i="48"/>
  <c r="B139" i="48"/>
  <c r="B143" i="48"/>
  <c r="B141" i="48"/>
  <c r="B144" i="48"/>
  <c r="B133" i="48"/>
  <c r="B136" i="48"/>
  <c r="B142" i="48"/>
  <c r="B42" i="48"/>
  <c r="B46" i="48"/>
  <c r="B44" i="48"/>
  <c r="B39" i="48"/>
  <c r="B48" i="48"/>
  <c r="B40" i="48"/>
  <c r="B45" i="48"/>
  <c r="B36" i="48"/>
  <c r="B47" i="48"/>
  <c r="B77" i="48"/>
  <c r="B76" i="48"/>
  <c r="B79" i="48"/>
  <c r="B72" i="48"/>
  <c r="B71" i="48"/>
  <c r="B73" i="48"/>
  <c r="B81" i="48"/>
  <c r="I15" i="54" l="1"/>
  <c r="I16" i="54"/>
  <c r="I16" i="52"/>
  <c r="I17" i="52"/>
  <c r="I15" i="50"/>
  <c r="I16" i="50"/>
  <c r="I15" i="14"/>
  <c r="I16" i="14"/>
  <c r="I7" i="14" l="1"/>
  <c r="B80" i="48" l="1"/>
  <c r="I9" i="14" l="1"/>
  <c r="H6" i="29" l="1"/>
  <c r="G6" i="29"/>
  <c r="F6" i="29"/>
  <c r="H6" i="64"/>
  <c r="G6" i="64"/>
  <c r="F6" i="64"/>
  <c r="H6" i="66"/>
  <c r="G6" i="66"/>
  <c r="F6" i="66"/>
  <c r="H6" i="68"/>
  <c r="G6" i="68"/>
  <c r="F6" i="68"/>
  <c r="H6" i="70"/>
  <c r="G6" i="70"/>
  <c r="F6" i="70"/>
  <c r="G6" i="72"/>
  <c r="F6" i="72"/>
  <c r="H6" i="76"/>
  <c r="G6" i="76"/>
  <c r="F6" i="76"/>
  <c r="H6" i="74"/>
  <c r="G6" i="74"/>
  <c r="F6" i="74"/>
  <c r="H6" i="72"/>
  <c r="E8" i="76" l="1"/>
  <c r="H7" i="76"/>
  <c r="E7" i="76"/>
  <c r="I6" i="76"/>
  <c r="E6" i="76"/>
  <c r="J5" i="76"/>
  <c r="I5" i="76"/>
  <c r="F5" i="76"/>
  <c r="E5" i="76"/>
  <c r="R8" i="75"/>
  <c r="M8" i="75"/>
  <c r="H8" i="75"/>
  <c r="X7" i="75"/>
  <c r="W7" i="75"/>
  <c r="V7" i="75"/>
  <c r="U7" i="75"/>
  <c r="T7" i="75"/>
  <c r="M7" i="75"/>
  <c r="H7" i="75"/>
  <c r="X6" i="75"/>
  <c r="W6" i="75"/>
  <c r="V6" i="75"/>
  <c r="U6" i="75"/>
  <c r="T6" i="75"/>
  <c r="S6" i="75"/>
  <c r="R6" i="75"/>
  <c r="Q6" i="75"/>
  <c r="P6" i="75"/>
  <c r="O6" i="75"/>
  <c r="H6" i="75"/>
  <c r="H5" i="76" s="1"/>
  <c r="X5" i="75"/>
  <c r="W5" i="75"/>
  <c r="F8" i="76" s="1"/>
  <c r="V5" i="75"/>
  <c r="I8" i="76" s="1"/>
  <c r="U5" i="75"/>
  <c r="J8" i="76" s="1"/>
  <c r="T5" i="75"/>
  <c r="S5" i="75"/>
  <c r="R5" i="75"/>
  <c r="G7" i="76" s="1"/>
  <c r="Q5" i="75"/>
  <c r="I7" i="76" s="1"/>
  <c r="P5" i="75"/>
  <c r="J7" i="76" s="1"/>
  <c r="O5" i="75"/>
  <c r="N5" i="75"/>
  <c r="M5" i="75"/>
  <c r="L5" i="75"/>
  <c r="K5" i="75"/>
  <c r="J6" i="76" s="1"/>
  <c r="J5" i="75"/>
  <c r="I8" i="74"/>
  <c r="E8" i="74"/>
  <c r="J7" i="74"/>
  <c r="H7" i="74"/>
  <c r="F7" i="74"/>
  <c r="E7" i="74"/>
  <c r="I6" i="74"/>
  <c r="E6" i="74"/>
  <c r="J5" i="74"/>
  <c r="I5" i="74"/>
  <c r="H5" i="74"/>
  <c r="F5" i="74"/>
  <c r="E5" i="74"/>
  <c r="R8" i="73"/>
  <c r="M8" i="73"/>
  <c r="H8" i="73"/>
  <c r="X7" i="73"/>
  <c r="W7" i="73"/>
  <c r="V7" i="73"/>
  <c r="U7" i="73"/>
  <c r="T7" i="73"/>
  <c r="M7" i="73"/>
  <c r="H7" i="73"/>
  <c r="X6" i="73"/>
  <c r="W6" i="73"/>
  <c r="V6" i="73"/>
  <c r="U6" i="73"/>
  <c r="T6" i="73"/>
  <c r="S6" i="73"/>
  <c r="R6" i="73"/>
  <c r="Q6" i="73"/>
  <c r="P6" i="73"/>
  <c r="O6" i="73"/>
  <c r="H6" i="73"/>
  <c r="G5" i="74" s="1"/>
  <c r="X5" i="73"/>
  <c r="W5" i="73"/>
  <c r="F8" i="74" s="1"/>
  <c r="V5" i="73"/>
  <c r="U5" i="73"/>
  <c r="J8" i="74" s="1"/>
  <c r="T5" i="73"/>
  <c r="S5" i="73"/>
  <c r="R5" i="73"/>
  <c r="G7" i="74" s="1"/>
  <c r="Q5" i="73"/>
  <c r="I7" i="74" s="1"/>
  <c r="P5" i="73"/>
  <c r="O5" i="73"/>
  <c r="N5" i="73"/>
  <c r="M5" i="73"/>
  <c r="L5" i="73"/>
  <c r="K5" i="73"/>
  <c r="J6" i="74" s="1"/>
  <c r="J5" i="73"/>
  <c r="E8" i="72"/>
  <c r="H7" i="72"/>
  <c r="E7" i="72"/>
  <c r="I6" i="72"/>
  <c r="E6" i="72"/>
  <c r="J5" i="72"/>
  <c r="I5" i="72"/>
  <c r="F5" i="72"/>
  <c r="E5" i="72"/>
  <c r="R8" i="71"/>
  <c r="M8" i="71"/>
  <c r="H8" i="71"/>
  <c r="X7" i="71"/>
  <c r="W7" i="71"/>
  <c r="V7" i="71"/>
  <c r="U7" i="71"/>
  <c r="T7" i="71"/>
  <c r="M7" i="71"/>
  <c r="H7" i="71"/>
  <c r="X6" i="71"/>
  <c r="W6" i="71"/>
  <c r="V6" i="71"/>
  <c r="U6" i="71"/>
  <c r="T6" i="71"/>
  <c r="S6" i="71"/>
  <c r="R6" i="71"/>
  <c r="Q6" i="71"/>
  <c r="P6" i="71"/>
  <c r="O6" i="71"/>
  <c r="H6" i="71"/>
  <c r="H5" i="72" s="1"/>
  <c r="X5" i="71"/>
  <c r="W5" i="71"/>
  <c r="F8" i="72" s="1"/>
  <c r="V5" i="71"/>
  <c r="I8" i="72" s="1"/>
  <c r="U5" i="71"/>
  <c r="J8" i="72" s="1"/>
  <c r="T5" i="71"/>
  <c r="S5" i="71"/>
  <c r="R5" i="71"/>
  <c r="G7" i="72" s="1"/>
  <c r="Q5" i="71"/>
  <c r="I7" i="72" s="1"/>
  <c r="P5" i="71"/>
  <c r="J7" i="72" s="1"/>
  <c r="O5" i="71"/>
  <c r="N5" i="71"/>
  <c r="M5" i="71"/>
  <c r="L5" i="71"/>
  <c r="K5" i="71"/>
  <c r="J6" i="72" s="1"/>
  <c r="J5" i="71"/>
  <c r="E8" i="70"/>
  <c r="H7" i="70"/>
  <c r="E7" i="70"/>
  <c r="I6" i="70"/>
  <c r="E6" i="70"/>
  <c r="J5" i="70"/>
  <c r="I5" i="70"/>
  <c r="F5" i="70"/>
  <c r="E5" i="70"/>
  <c r="R8" i="69"/>
  <c r="M8" i="69"/>
  <c r="H8" i="69"/>
  <c r="X7" i="69"/>
  <c r="W7" i="69"/>
  <c r="V7" i="69"/>
  <c r="U7" i="69"/>
  <c r="T7" i="69"/>
  <c r="M7" i="69"/>
  <c r="H7" i="69"/>
  <c r="X6" i="69"/>
  <c r="W6" i="69"/>
  <c r="V6" i="69"/>
  <c r="U6" i="69"/>
  <c r="T6" i="69"/>
  <c r="S6" i="69"/>
  <c r="R6" i="69"/>
  <c r="Q6" i="69"/>
  <c r="P6" i="69"/>
  <c r="O6" i="69"/>
  <c r="H6" i="69"/>
  <c r="H5" i="70" s="1"/>
  <c r="X5" i="69"/>
  <c r="W5" i="69"/>
  <c r="F8" i="70" s="1"/>
  <c r="V5" i="69"/>
  <c r="I8" i="70" s="1"/>
  <c r="U5" i="69"/>
  <c r="J8" i="70" s="1"/>
  <c r="T5" i="69"/>
  <c r="S5" i="69"/>
  <c r="R5" i="69"/>
  <c r="G7" i="70" s="1"/>
  <c r="Q5" i="69"/>
  <c r="I7" i="70" s="1"/>
  <c r="P5" i="69"/>
  <c r="J7" i="70" s="1"/>
  <c r="O5" i="69"/>
  <c r="N5" i="69"/>
  <c r="M5" i="69"/>
  <c r="L5" i="69"/>
  <c r="K5" i="69"/>
  <c r="J6" i="70" s="1"/>
  <c r="J5" i="69"/>
  <c r="E8" i="68"/>
  <c r="H7" i="68"/>
  <c r="E7" i="68"/>
  <c r="I6" i="68"/>
  <c r="E6" i="68"/>
  <c r="J5" i="68"/>
  <c r="I5" i="68"/>
  <c r="F5" i="68"/>
  <c r="E5" i="68"/>
  <c r="R8" i="67"/>
  <c r="M8" i="67"/>
  <c r="H8" i="67"/>
  <c r="X7" i="67"/>
  <c r="W7" i="67"/>
  <c r="V7" i="67"/>
  <c r="U7" i="67"/>
  <c r="T7" i="67"/>
  <c r="M7" i="67"/>
  <c r="H7" i="67"/>
  <c r="X6" i="67"/>
  <c r="W6" i="67"/>
  <c r="V6" i="67"/>
  <c r="U6" i="67"/>
  <c r="T6" i="67"/>
  <c r="S6" i="67"/>
  <c r="R6" i="67"/>
  <c r="Q6" i="67"/>
  <c r="P6" i="67"/>
  <c r="O6" i="67"/>
  <c r="H6" i="67"/>
  <c r="H5" i="68" s="1"/>
  <c r="X5" i="67"/>
  <c r="W5" i="67"/>
  <c r="F8" i="68" s="1"/>
  <c r="V5" i="67"/>
  <c r="I8" i="68" s="1"/>
  <c r="U5" i="67"/>
  <c r="J8" i="68" s="1"/>
  <c r="T5" i="67"/>
  <c r="S5" i="67"/>
  <c r="R5" i="67"/>
  <c r="G7" i="68" s="1"/>
  <c r="Q5" i="67"/>
  <c r="I7" i="68" s="1"/>
  <c r="P5" i="67"/>
  <c r="J7" i="68" s="1"/>
  <c r="O5" i="67"/>
  <c r="N5" i="67"/>
  <c r="M5" i="67"/>
  <c r="L5" i="67"/>
  <c r="K5" i="67"/>
  <c r="J6" i="68" s="1"/>
  <c r="J5" i="67"/>
  <c r="I8" i="66"/>
  <c r="E8" i="66"/>
  <c r="I7" i="66"/>
  <c r="H7" i="66"/>
  <c r="E7" i="66"/>
  <c r="I6" i="66"/>
  <c r="E6" i="66"/>
  <c r="J5" i="66"/>
  <c r="I5" i="66"/>
  <c r="H5" i="66"/>
  <c r="G5" i="66"/>
  <c r="F5" i="66"/>
  <c r="E5" i="66"/>
  <c r="R8" i="65"/>
  <c r="F7" i="66" s="1"/>
  <c r="M8" i="65"/>
  <c r="H8" i="65"/>
  <c r="X7" i="65"/>
  <c r="W7" i="65"/>
  <c r="V7" i="65"/>
  <c r="U7" i="65"/>
  <c r="T7" i="65"/>
  <c r="M7" i="65"/>
  <c r="H7" i="65"/>
  <c r="X6" i="65"/>
  <c r="W6" i="65"/>
  <c r="V6" i="65"/>
  <c r="U6" i="65"/>
  <c r="T6" i="65"/>
  <c r="S6" i="65"/>
  <c r="R6" i="65"/>
  <c r="Q6" i="65"/>
  <c r="P6" i="65"/>
  <c r="O6" i="65"/>
  <c r="H6" i="65"/>
  <c r="X5" i="65"/>
  <c r="W5" i="65"/>
  <c r="F8" i="66" s="1"/>
  <c r="V5" i="65"/>
  <c r="U5" i="65"/>
  <c r="J8" i="66" s="1"/>
  <c r="K8" i="66" s="1"/>
  <c r="T5" i="65"/>
  <c r="S5" i="65"/>
  <c r="R5" i="65"/>
  <c r="G7" i="66" s="1"/>
  <c r="Q5" i="65"/>
  <c r="P5" i="65"/>
  <c r="J7" i="66" s="1"/>
  <c r="O5" i="65"/>
  <c r="N5" i="65"/>
  <c r="M5" i="65"/>
  <c r="L5" i="65"/>
  <c r="K5" i="65"/>
  <c r="J6" i="66" s="1"/>
  <c r="J5" i="65"/>
  <c r="E8" i="64"/>
  <c r="H7" i="64"/>
  <c r="E7" i="64"/>
  <c r="I6" i="64"/>
  <c r="E6" i="64"/>
  <c r="J5" i="64"/>
  <c r="I5" i="64"/>
  <c r="F5" i="64"/>
  <c r="E5" i="64"/>
  <c r="R8" i="63"/>
  <c r="M8" i="63"/>
  <c r="H8" i="63"/>
  <c r="X7" i="63"/>
  <c r="W7" i="63"/>
  <c r="V7" i="63"/>
  <c r="U7" i="63"/>
  <c r="T7" i="63"/>
  <c r="M7" i="63"/>
  <c r="H7" i="63"/>
  <c r="X6" i="63"/>
  <c r="W6" i="63"/>
  <c r="V6" i="63"/>
  <c r="U6" i="63"/>
  <c r="T6" i="63"/>
  <c r="S6" i="63"/>
  <c r="R6" i="63"/>
  <c r="Q6" i="63"/>
  <c r="P6" i="63"/>
  <c r="O6" i="63"/>
  <c r="H6" i="63"/>
  <c r="H5" i="64" s="1"/>
  <c r="X5" i="63"/>
  <c r="W5" i="63"/>
  <c r="F8" i="64" s="1"/>
  <c r="V5" i="63"/>
  <c r="I8" i="64" s="1"/>
  <c r="U5" i="63"/>
  <c r="J8" i="64" s="1"/>
  <c r="T5" i="63"/>
  <c r="S5" i="63"/>
  <c r="R5" i="63"/>
  <c r="G7" i="64" s="1"/>
  <c r="Q5" i="63"/>
  <c r="I7" i="64" s="1"/>
  <c r="P5" i="63"/>
  <c r="J7" i="64" s="1"/>
  <c r="O5" i="63"/>
  <c r="N5" i="63"/>
  <c r="M5" i="63"/>
  <c r="L5" i="63"/>
  <c r="K5" i="63"/>
  <c r="J6" i="64" s="1"/>
  <c r="J5" i="63"/>
  <c r="J8" i="29"/>
  <c r="J7" i="29"/>
  <c r="J5" i="29"/>
  <c r="I8" i="29"/>
  <c r="I7" i="29"/>
  <c r="I5" i="29"/>
  <c r="H8" i="29"/>
  <c r="H7" i="29"/>
  <c r="G8" i="29"/>
  <c r="G7" i="29"/>
  <c r="F8" i="29"/>
  <c r="F7" i="29"/>
  <c r="E8" i="29"/>
  <c r="E7" i="29"/>
  <c r="E6" i="29"/>
  <c r="E5" i="29"/>
  <c r="J5" i="62"/>
  <c r="K5" i="62"/>
  <c r="J6" i="29" s="1"/>
  <c r="L5" i="62"/>
  <c r="I6" i="29" s="1"/>
  <c r="N5" i="62"/>
  <c r="O5" i="62"/>
  <c r="P5" i="62"/>
  <c r="Q5" i="62"/>
  <c r="R5" i="62"/>
  <c r="S5" i="62"/>
  <c r="T5" i="62"/>
  <c r="U5" i="62"/>
  <c r="V5" i="62"/>
  <c r="W5" i="62"/>
  <c r="X5" i="62"/>
  <c r="H6" i="62"/>
  <c r="H5" i="29" s="1"/>
  <c r="O6" i="62"/>
  <c r="P6" i="62"/>
  <c r="Q6" i="62"/>
  <c r="R6" i="62"/>
  <c r="S6" i="62"/>
  <c r="T6" i="62"/>
  <c r="U6" i="62"/>
  <c r="V6" i="62"/>
  <c r="W6" i="62"/>
  <c r="X6" i="62"/>
  <c r="H7" i="62"/>
  <c r="M7" i="62"/>
  <c r="T7" i="62"/>
  <c r="U7" i="62"/>
  <c r="V7" i="62"/>
  <c r="W7" i="62"/>
  <c r="X7" i="62"/>
  <c r="H8" i="62"/>
  <c r="M8" i="62"/>
  <c r="R8" i="62"/>
  <c r="M5" i="62" l="1"/>
  <c r="F5" i="29"/>
  <c r="G5" i="29"/>
  <c r="K7" i="74"/>
  <c r="E9" i="72"/>
  <c r="I9" i="66"/>
  <c r="K8" i="64"/>
  <c r="E9" i="76"/>
  <c r="E9" i="66"/>
  <c r="I9" i="76"/>
  <c r="E9" i="74"/>
  <c r="I9" i="72"/>
  <c r="I9" i="70"/>
  <c r="E9" i="70"/>
  <c r="I9" i="68"/>
  <c r="E9" i="68"/>
  <c r="L7" i="66"/>
  <c r="I9" i="64"/>
  <c r="E9" i="64"/>
  <c r="J9" i="76"/>
  <c r="K7" i="76"/>
  <c r="K8" i="76"/>
  <c r="K6" i="76"/>
  <c r="G5" i="76"/>
  <c r="K5" i="76"/>
  <c r="H8" i="76"/>
  <c r="H9" i="76" s="1"/>
  <c r="G8" i="76"/>
  <c r="L8" i="76" s="1"/>
  <c r="F7" i="76"/>
  <c r="L7" i="76" s="1"/>
  <c r="I9" i="74"/>
  <c r="J9" i="74"/>
  <c r="L7" i="74"/>
  <c r="K8" i="74"/>
  <c r="G8" i="74"/>
  <c r="L8" i="74" s="1"/>
  <c r="K5" i="74"/>
  <c r="H8" i="74"/>
  <c r="H9" i="74" s="1"/>
  <c r="L5" i="74"/>
  <c r="G9" i="74"/>
  <c r="K6" i="74"/>
  <c r="K7" i="72"/>
  <c r="J9" i="72"/>
  <c r="K8" i="72"/>
  <c r="K6" i="72"/>
  <c r="G5" i="72"/>
  <c r="K5" i="72"/>
  <c r="H8" i="72"/>
  <c r="H9" i="72" s="1"/>
  <c r="F7" i="72"/>
  <c r="L7" i="72" s="1"/>
  <c r="G8" i="72"/>
  <c r="L8" i="72" s="1"/>
  <c r="K7" i="70"/>
  <c r="J9" i="70"/>
  <c r="K8" i="70"/>
  <c r="K6" i="70"/>
  <c r="G8" i="70"/>
  <c r="L8" i="70" s="1"/>
  <c r="G5" i="70"/>
  <c r="K5" i="70"/>
  <c r="H8" i="70"/>
  <c r="H9" i="70" s="1"/>
  <c r="L5" i="70"/>
  <c r="F7" i="70"/>
  <c r="L7" i="70" s="1"/>
  <c r="J9" i="68"/>
  <c r="K7" i="68"/>
  <c r="K8" i="68"/>
  <c r="K6" i="68"/>
  <c r="G5" i="68"/>
  <c r="K5" i="68"/>
  <c r="H8" i="68"/>
  <c r="H9" i="68" s="1"/>
  <c r="F7" i="68"/>
  <c r="L7" i="68" s="1"/>
  <c r="G8" i="68"/>
  <c r="L8" i="68" s="1"/>
  <c r="J9" i="66"/>
  <c r="K7" i="66"/>
  <c r="F9" i="66"/>
  <c r="G8" i="66"/>
  <c r="L8" i="66" s="1"/>
  <c r="K5" i="66"/>
  <c r="H8" i="66"/>
  <c r="H9" i="66" s="1"/>
  <c r="L5" i="66"/>
  <c r="G9" i="66"/>
  <c r="K6" i="66"/>
  <c r="K7" i="64"/>
  <c r="J9" i="64"/>
  <c r="K6" i="64"/>
  <c r="G5" i="64"/>
  <c r="L5" i="64" s="1"/>
  <c r="K5" i="64"/>
  <c r="H8" i="64"/>
  <c r="H9" i="64" s="1"/>
  <c r="G8" i="64"/>
  <c r="L8" i="64" s="1"/>
  <c r="F7" i="64"/>
  <c r="L7" i="64" s="1"/>
  <c r="AA9" i="49"/>
  <c r="AA10" i="49"/>
  <c r="AA11" i="49"/>
  <c r="AA12" i="49"/>
  <c r="AA13" i="49"/>
  <c r="AA14" i="49"/>
  <c r="G5" i="49"/>
  <c r="G6" i="49"/>
  <c r="G7" i="49"/>
  <c r="G8" i="49"/>
  <c r="G9" i="49"/>
  <c r="G10" i="49"/>
  <c r="G11" i="49"/>
  <c r="G12" i="49"/>
  <c r="G13" i="49"/>
  <c r="G14" i="49"/>
  <c r="Q6" i="49"/>
  <c r="L5" i="49"/>
  <c r="L6" i="49"/>
  <c r="G4" i="49"/>
  <c r="L6" i="72" l="1"/>
  <c r="L6" i="74"/>
  <c r="G9" i="72"/>
  <c r="F9" i="70"/>
  <c r="G9" i="68"/>
  <c r="G9" i="76"/>
  <c r="L6" i="76"/>
  <c r="F9" i="76"/>
  <c r="L5" i="76"/>
  <c r="F9" i="74"/>
  <c r="L5" i="72"/>
  <c r="F9" i="72"/>
  <c r="L6" i="70"/>
  <c r="G9" i="70"/>
  <c r="L6" i="68"/>
  <c r="F9" i="68"/>
  <c r="L5" i="68"/>
  <c r="L6" i="66"/>
  <c r="G9" i="64"/>
  <c r="L6" i="64"/>
  <c r="F9" i="64"/>
  <c r="I10" i="14" l="1"/>
  <c r="N9" i="14"/>
  <c r="I18" i="14"/>
  <c r="D6" i="46"/>
  <c r="C6" i="46"/>
  <c r="H16" i="54"/>
  <c r="H15" i="54"/>
  <c r="I14" i="54"/>
  <c r="H14" i="54"/>
  <c r="I13" i="54"/>
  <c r="H13" i="54"/>
  <c r="I12" i="54"/>
  <c r="H12" i="54"/>
  <c r="I31" i="37" s="1"/>
  <c r="D8" i="69" s="1"/>
  <c r="I11" i="54"/>
  <c r="H11" i="54"/>
  <c r="I10" i="54"/>
  <c r="H10" i="54"/>
  <c r="I9" i="54"/>
  <c r="H9" i="54"/>
  <c r="I8" i="54"/>
  <c r="H8" i="54"/>
  <c r="I17" i="54"/>
  <c r="H17" i="54"/>
  <c r="I18" i="54"/>
  <c r="H18" i="54"/>
  <c r="N7" i="54"/>
  <c r="M7" i="54"/>
  <c r="I7" i="54"/>
  <c r="H7" i="54"/>
  <c r="O7" i="37" s="1"/>
  <c r="D5" i="67" s="1"/>
  <c r="BE14" i="53"/>
  <c r="AZ14" i="53"/>
  <c r="AU14" i="53"/>
  <c r="AP14" i="53"/>
  <c r="AK14" i="53"/>
  <c r="AF14" i="53"/>
  <c r="AA14" i="53"/>
  <c r="V14" i="53"/>
  <c r="Q14" i="53"/>
  <c r="L14" i="53"/>
  <c r="G14" i="53"/>
  <c r="BK13" i="53"/>
  <c r="BJ13" i="53"/>
  <c r="BI13" i="53"/>
  <c r="BH13" i="53"/>
  <c r="BG13" i="53"/>
  <c r="AZ13" i="53"/>
  <c r="AU13" i="53"/>
  <c r="AP13" i="53"/>
  <c r="AK13" i="53"/>
  <c r="AF13" i="53"/>
  <c r="AA13" i="53"/>
  <c r="V13" i="53"/>
  <c r="Q13" i="53"/>
  <c r="L13" i="53"/>
  <c r="G13" i="53"/>
  <c r="BK12" i="53"/>
  <c r="BJ12" i="53"/>
  <c r="BI12" i="53"/>
  <c r="BH12" i="53"/>
  <c r="BG12" i="53"/>
  <c r="BF12" i="53"/>
  <c r="BE12" i="53"/>
  <c r="BD12" i="53"/>
  <c r="BC12" i="53"/>
  <c r="BB12" i="53"/>
  <c r="AU12" i="53"/>
  <c r="AP12" i="53"/>
  <c r="AK12" i="53"/>
  <c r="AF12" i="53"/>
  <c r="AA12" i="53"/>
  <c r="V12" i="53"/>
  <c r="Q12" i="53"/>
  <c r="L12" i="53"/>
  <c r="G12" i="53"/>
  <c r="BK11" i="53"/>
  <c r="BJ11" i="53"/>
  <c r="BI11" i="53"/>
  <c r="BH11" i="53"/>
  <c r="BG11" i="53"/>
  <c r="BF11" i="53"/>
  <c r="BE11" i="53"/>
  <c r="BD11" i="53"/>
  <c r="BC11" i="53"/>
  <c r="BB11" i="53"/>
  <c r="BA11" i="53"/>
  <c r="AZ11" i="53"/>
  <c r="AY11" i="53"/>
  <c r="AX11" i="53"/>
  <c r="AW11" i="53"/>
  <c r="AP11" i="53"/>
  <c r="AK11" i="53"/>
  <c r="AF11" i="53"/>
  <c r="AA11" i="53"/>
  <c r="V11" i="53"/>
  <c r="Q11" i="53"/>
  <c r="L11" i="53"/>
  <c r="G11" i="53"/>
  <c r="BK10" i="53"/>
  <c r="BJ10" i="53"/>
  <c r="BI10" i="53"/>
  <c r="BH10" i="53"/>
  <c r="BG10" i="53"/>
  <c r="BF10" i="53"/>
  <c r="BE10" i="53"/>
  <c r="BD10" i="53"/>
  <c r="BC10" i="53"/>
  <c r="BB10" i="53"/>
  <c r="BA10" i="53"/>
  <c r="AZ10" i="53"/>
  <c r="AY10" i="53"/>
  <c r="AX10" i="53"/>
  <c r="AW10" i="53"/>
  <c r="AV10" i="53"/>
  <c r="AU10" i="53"/>
  <c r="AT10" i="53"/>
  <c r="AS10" i="53"/>
  <c r="AR10" i="53"/>
  <c r="AK10" i="53"/>
  <c r="AF10" i="53"/>
  <c r="AA10" i="53"/>
  <c r="V10" i="53"/>
  <c r="Q10" i="53"/>
  <c r="L10" i="53"/>
  <c r="G10" i="53"/>
  <c r="BK9" i="53"/>
  <c r="BJ9" i="53"/>
  <c r="BI9" i="53"/>
  <c r="BH9" i="53"/>
  <c r="BG9" i="53"/>
  <c r="BF9" i="53"/>
  <c r="BE9" i="53"/>
  <c r="BD9" i="53"/>
  <c r="BC9" i="53"/>
  <c r="BB9" i="53"/>
  <c r="BA9" i="53"/>
  <c r="AZ9" i="53"/>
  <c r="AY9" i="53"/>
  <c r="AX9" i="53"/>
  <c r="AW9" i="53"/>
  <c r="AV9" i="53"/>
  <c r="AU9" i="53"/>
  <c r="AT9" i="53"/>
  <c r="AS9" i="53"/>
  <c r="AR9" i="53"/>
  <c r="AQ9" i="53"/>
  <c r="AP9" i="53"/>
  <c r="AO9" i="53"/>
  <c r="AN9" i="53"/>
  <c r="AM9" i="53"/>
  <c r="AF9" i="53"/>
  <c r="AA9" i="53"/>
  <c r="V9" i="53"/>
  <c r="Q9" i="53"/>
  <c r="L9" i="53"/>
  <c r="G9" i="53"/>
  <c r="BK8" i="53"/>
  <c r="BJ8" i="53"/>
  <c r="BI8" i="53"/>
  <c r="BH8" i="53"/>
  <c r="BG8" i="53"/>
  <c r="BF8" i="53"/>
  <c r="BE8" i="53"/>
  <c r="BD8" i="53"/>
  <c r="BC8" i="53"/>
  <c r="BB8" i="53"/>
  <c r="BA8" i="53"/>
  <c r="AZ8" i="53"/>
  <c r="AY8" i="53"/>
  <c r="AX8" i="53"/>
  <c r="AW8" i="53"/>
  <c r="AV8" i="53"/>
  <c r="AU8" i="53"/>
  <c r="AT8" i="53"/>
  <c r="AS8" i="53"/>
  <c r="AR8" i="53"/>
  <c r="AQ8" i="53"/>
  <c r="AP8" i="53"/>
  <c r="AO8" i="53"/>
  <c r="AN8" i="53"/>
  <c r="AM8" i="53"/>
  <c r="AL8" i="53"/>
  <c r="AK8" i="53"/>
  <c r="AJ8" i="53"/>
  <c r="AI8" i="53"/>
  <c r="AH8" i="53"/>
  <c r="AA8" i="53"/>
  <c r="V8" i="53"/>
  <c r="Q8" i="53"/>
  <c r="L8" i="53"/>
  <c r="G8" i="53"/>
  <c r="BK7" i="53"/>
  <c r="BJ7" i="53"/>
  <c r="BI7" i="53"/>
  <c r="BH7" i="53"/>
  <c r="BG7" i="53"/>
  <c r="BF7" i="53"/>
  <c r="BE7" i="53"/>
  <c r="BD7" i="53"/>
  <c r="BC7" i="53"/>
  <c r="BB7" i="53"/>
  <c r="BA7" i="53"/>
  <c r="AZ7" i="53"/>
  <c r="AY7" i="53"/>
  <c r="AX7" i="53"/>
  <c r="AW7" i="53"/>
  <c r="AV7" i="53"/>
  <c r="AU7" i="53"/>
  <c r="AT7" i="53"/>
  <c r="AS7" i="53"/>
  <c r="AR7" i="53"/>
  <c r="AQ7" i="53"/>
  <c r="AP7" i="53"/>
  <c r="AO7" i="53"/>
  <c r="AN7" i="53"/>
  <c r="AM7" i="53"/>
  <c r="AL7" i="53"/>
  <c r="AK7" i="53"/>
  <c r="AJ7" i="53"/>
  <c r="AI7" i="53"/>
  <c r="AH7" i="53"/>
  <c r="AG7" i="53"/>
  <c r="AF7" i="53"/>
  <c r="AE7" i="53"/>
  <c r="AD7" i="53"/>
  <c r="AC7" i="53"/>
  <c r="V7" i="53"/>
  <c r="Q7" i="53"/>
  <c r="L7" i="53"/>
  <c r="G7" i="53"/>
  <c r="BK6" i="53"/>
  <c r="BJ6" i="53"/>
  <c r="BI6" i="53"/>
  <c r="BH6" i="53"/>
  <c r="BG6" i="53"/>
  <c r="BF6" i="53"/>
  <c r="BE6" i="53"/>
  <c r="BD6" i="53"/>
  <c r="BC6" i="53"/>
  <c r="BB6" i="53"/>
  <c r="BA6" i="53"/>
  <c r="AZ6" i="53"/>
  <c r="AY6" i="53"/>
  <c r="AX6" i="53"/>
  <c r="AW6" i="53"/>
  <c r="AV6" i="53"/>
  <c r="AU6" i="53"/>
  <c r="AT6" i="53"/>
  <c r="AS6" i="53"/>
  <c r="AR6" i="53"/>
  <c r="AQ6" i="53"/>
  <c r="AP6" i="53"/>
  <c r="AO6" i="53"/>
  <c r="AN6" i="53"/>
  <c r="AM6" i="53"/>
  <c r="AL6" i="53"/>
  <c r="AK6" i="53"/>
  <c r="AJ6" i="53"/>
  <c r="AI6" i="53"/>
  <c r="AH6" i="53"/>
  <c r="AG6" i="53"/>
  <c r="AF6" i="53"/>
  <c r="AE6" i="53"/>
  <c r="AD6" i="53"/>
  <c r="AC6" i="53"/>
  <c r="AB6" i="53"/>
  <c r="AA6" i="53"/>
  <c r="Z6" i="53"/>
  <c r="Y6" i="53"/>
  <c r="X6" i="53"/>
  <c r="Q6" i="53"/>
  <c r="L6" i="53"/>
  <c r="G6" i="53"/>
  <c r="BK5" i="53"/>
  <c r="BJ5" i="53"/>
  <c r="BI5" i="53"/>
  <c r="BH5" i="53"/>
  <c r="BG5" i="53"/>
  <c r="BF5" i="53"/>
  <c r="BE5" i="53"/>
  <c r="BD5" i="53"/>
  <c r="BC5" i="53"/>
  <c r="BB5" i="53"/>
  <c r="BA5" i="53"/>
  <c r="AZ5" i="53"/>
  <c r="AY5" i="53"/>
  <c r="AX5" i="53"/>
  <c r="AW5" i="53"/>
  <c r="AV5" i="53"/>
  <c r="AU5" i="53"/>
  <c r="AT5" i="53"/>
  <c r="AS5" i="53"/>
  <c r="AR5" i="53"/>
  <c r="AQ5" i="53"/>
  <c r="AP5" i="53"/>
  <c r="AO5" i="53"/>
  <c r="AN5" i="53"/>
  <c r="AM5" i="53"/>
  <c r="AL5" i="53"/>
  <c r="AK5" i="53"/>
  <c r="AJ5" i="53"/>
  <c r="AI5" i="53"/>
  <c r="AH5" i="53"/>
  <c r="AG5" i="53"/>
  <c r="AF5" i="53"/>
  <c r="AE5" i="53"/>
  <c r="AD5" i="53"/>
  <c r="AC5" i="53"/>
  <c r="AB5" i="53"/>
  <c r="AA5" i="53"/>
  <c r="Z5" i="53"/>
  <c r="Y5" i="53"/>
  <c r="X5" i="53"/>
  <c r="W5" i="53"/>
  <c r="U5" i="53"/>
  <c r="T5" i="53"/>
  <c r="S5" i="53"/>
  <c r="L5" i="53"/>
  <c r="G5" i="53"/>
  <c r="BK4" i="53"/>
  <c r="BJ4" i="53"/>
  <c r="BI4" i="53"/>
  <c r="BH4" i="53"/>
  <c r="BG4" i="53"/>
  <c r="BF4" i="53"/>
  <c r="BE4" i="53"/>
  <c r="BD4" i="53"/>
  <c r="BC4" i="53"/>
  <c r="BB4" i="53"/>
  <c r="BA4" i="53"/>
  <c r="AZ4" i="53"/>
  <c r="AY4" i="53"/>
  <c r="AX4" i="53"/>
  <c r="AW4" i="53"/>
  <c r="AV4" i="53"/>
  <c r="AU4" i="53"/>
  <c r="AT4" i="53"/>
  <c r="AS4" i="53"/>
  <c r="AR4" i="53"/>
  <c r="AQ4" i="53"/>
  <c r="AP4" i="53"/>
  <c r="AO4" i="53"/>
  <c r="AN4" i="53"/>
  <c r="AM4" i="53"/>
  <c r="AL4" i="53"/>
  <c r="AK4" i="53"/>
  <c r="AJ4" i="53"/>
  <c r="AI4" i="53"/>
  <c r="AH4" i="53"/>
  <c r="AG4" i="53"/>
  <c r="AF4" i="53"/>
  <c r="AE4" i="53"/>
  <c r="AD4" i="53"/>
  <c r="AC4" i="53"/>
  <c r="AB4" i="53"/>
  <c r="AA4" i="53"/>
  <c r="Z4" i="53"/>
  <c r="Y4" i="53"/>
  <c r="X4" i="53"/>
  <c r="W4" i="53"/>
  <c r="V4" i="53"/>
  <c r="U4" i="53"/>
  <c r="T4" i="53"/>
  <c r="S4" i="53"/>
  <c r="R4" i="53"/>
  <c r="Q4" i="53"/>
  <c r="P4" i="53"/>
  <c r="O4" i="53"/>
  <c r="N4" i="53"/>
  <c r="G4" i="53"/>
  <c r="BK3" i="53"/>
  <c r="BJ3" i="53"/>
  <c r="BI3" i="53"/>
  <c r="BH3" i="53"/>
  <c r="BG3" i="53"/>
  <c r="BF3" i="53"/>
  <c r="BE3" i="53"/>
  <c r="BD3" i="53"/>
  <c r="BC3" i="53"/>
  <c r="BB3" i="53"/>
  <c r="BA3" i="53"/>
  <c r="AZ3" i="53"/>
  <c r="AY3" i="53"/>
  <c r="AX3" i="53"/>
  <c r="AW3" i="53"/>
  <c r="AV3" i="53"/>
  <c r="AU3" i="53"/>
  <c r="AT3" i="53"/>
  <c r="AS3" i="53"/>
  <c r="AR3" i="53"/>
  <c r="AQ3" i="53"/>
  <c r="AP3" i="53"/>
  <c r="AO3" i="53"/>
  <c r="AN3" i="53"/>
  <c r="AM3" i="53"/>
  <c r="AL3" i="53"/>
  <c r="AK3" i="53"/>
  <c r="AJ3" i="53"/>
  <c r="AI3" i="53"/>
  <c r="AH3" i="53"/>
  <c r="AG3" i="53"/>
  <c r="AE3" i="53"/>
  <c r="AD3" i="53"/>
  <c r="AC3" i="53"/>
  <c r="AB3" i="53"/>
  <c r="AA3" i="53"/>
  <c r="Z3" i="53"/>
  <c r="Y3" i="53"/>
  <c r="X3" i="53"/>
  <c r="W3" i="53"/>
  <c r="V3" i="53"/>
  <c r="U3" i="53"/>
  <c r="T3" i="53"/>
  <c r="S3" i="53"/>
  <c r="R3" i="53"/>
  <c r="Q3" i="53"/>
  <c r="P3" i="53"/>
  <c r="O3" i="53"/>
  <c r="N17" i="54" s="1"/>
  <c r="P17" i="54" s="1"/>
  <c r="N3" i="53"/>
  <c r="M3" i="53"/>
  <c r="K3" i="53"/>
  <c r="M18" i="54" s="1"/>
  <c r="J3" i="53"/>
  <c r="N18" i="54" s="1"/>
  <c r="I3" i="53"/>
  <c r="BG1" i="53"/>
  <c r="BB1" i="53"/>
  <c r="AW1" i="53"/>
  <c r="AR1" i="53"/>
  <c r="AM1" i="53"/>
  <c r="AH1" i="53"/>
  <c r="AC1" i="53"/>
  <c r="X1" i="53"/>
  <c r="S1" i="53"/>
  <c r="N1" i="53"/>
  <c r="I1" i="53"/>
  <c r="D1" i="53"/>
  <c r="H17" i="52"/>
  <c r="H16" i="52"/>
  <c r="I15" i="52"/>
  <c r="H15" i="52"/>
  <c r="I14" i="52"/>
  <c r="H14" i="52"/>
  <c r="I13" i="52"/>
  <c r="H13" i="52"/>
  <c r="O31" i="37" s="1"/>
  <c r="D8" i="75" s="1"/>
  <c r="I12" i="52"/>
  <c r="H12" i="52"/>
  <c r="O16" i="37" s="1"/>
  <c r="D8" i="67" s="1"/>
  <c r="I11" i="52"/>
  <c r="H11" i="52"/>
  <c r="I28" i="37" s="1"/>
  <c r="D7" i="69" s="1"/>
  <c r="I10" i="52"/>
  <c r="H10" i="52"/>
  <c r="I13" i="37" s="1"/>
  <c r="D7" i="62" s="1"/>
  <c r="I9" i="52"/>
  <c r="H9" i="52"/>
  <c r="I8" i="52"/>
  <c r="H8" i="52"/>
  <c r="K10" i="37" s="1"/>
  <c r="D6" i="63" s="1"/>
  <c r="I7" i="52"/>
  <c r="H7" i="52"/>
  <c r="M22" i="37" s="1"/>
  <c r="D5" i="73" s="1"/>
  <c r="N18" i="52"/>
  <c r="M18" i="52"/>
  <c r="I18" i="52"/>
  <c r="H18" i="52"/>
  <c r="BE14" i="51"/>
  <c r="AZ14" i="51"/>
  <c r="AU14" i="51"/>
  <c r="AP14" i="51"/>
  <c r="AK14" i="51"/>
  <c r="AF14" i="51"/>
  <c r="AA14" i="51"/>
  <c r="V14" i="51"/>
  <c r="Q14" i="51"/>
  <c r="L14" i="51"/>
  <c r="G14" i="51"/>
  <c r="BK13" i="51"/>
  <c r="BJ13" i="51"/>
  <c r="BI13" i="51"/>
  <c r="BH13" i="51"/>
  <c r="BG13" i="51"/>
  <c r="AZ13" i="51"/>
  <c r="AU13" i="51"/>
  <c r="AP13" i="51"/>
  <c r="AK13" i="51"/>
  <c r="AF13" i="51"/>
  <c r="AA13" i="51"/>
  <c r="V13" i="51"/>
  <c r="Q13" i="51"/>
  <c r="L13" i="51"/>
  <c r="G13" i="51"/>
  <c r="BK12" i="51"/>
  <c r="BJ12" i="51"/>
  <c r="BI12" i="51"/>
  <c r="BH12" i="51"/>
  <c r="BG12" i="51"/>
  <c r="BF12" i="51"/>
  <c r="BE12" i="51"/>
  <c r="BD12" i="51"/>
  <c r="BC12" i="51"/>
  <c r="BB12" i="51"/>
  <c r="AU12" i="51"/>
  <c r="AP12" i="51"/>
  <c r="AK12" i="51"/>
  <c r="AF12" i="51"/>
  <c r="AA12" i="51"/>
  <c r="V12" i="51"/>
  <c r="Q12" i="51"/>
  <c r="L12" i="51"/>
  <c r="G12" i="51"/>
  <c r="BK11" i="51"/>
  <c r="BJ11" i="51"/>
  <c r="BI11" i="51"/>
  <c r="BH11" i="51"/>
  <c r="BG11" i="51"/>
  <c r="BF11" i="51"/>
  <c r="BE11" i="51"/>
  <c r="BD11" i="51"/>
  <c r="BC11" i="51"/>
  <c r="BB11" i="51"/>
  <c r="BA11" i="51"/>
  <c r="AZ11" i="51"/>
  <c r="AY11" i="51"/>
  <c r="AX11" i="51"/>
  <c r="AW11" i="51"/>
  <c r="AP11" i="51"/>
  <c r="AK11" i="51"/>
  <c r="AF11" i="51"/>
  <c r="AA11" i="51"/>
  <c r="V11" i="51"/>
  <c r="Q11" i="51"/>
  <c r="L11" i="51"/>
  <c r="G11" i="51"/>
  <c r="BK10" i="51"/>
  <c r="BJ10" i="51"/>
  <c r="BI10" i="51"/>
  <c r="BH10" i="51"/>
  <c r="BG10" i="51"/>
  <c r="BF10" i="51"/>
  <c r="BE10" i="51"/>
  <c r="BD10" i="51"/>
  <c r="BC10" i="51"/>
  <c r="BB10" i="51"/>
  <c r="BA10" i="51"/>
  <c r="AZ10" i="51"/>
  <c r="AY10" i="51"/>
  <c r="AX10" i="51"/>
  <c r="AW10" i="51"/>
  <c r="AV10" i="51"/>
  <c r="AU10" i="51"/>
  <c r="AT10" i="51"/>
  <c r="AS10" i="51"/>
  <c r="AR10" i="51"/>
  <c r="AK10" i="51"/>
  <c r="AF10" i="51"/>
  <c r="AA10" i="51"/>
  <c r="V10" i="51"/>
  <c r="Q10" i="51"/>
  <c r="L10" i="51"/>
  <c r="G10" i="51"/>
  <c r="BK9" i="51"/>
  <c r="BJ9" i="51"/>
  <c r="BI9" i="51"/>
  <c r="BH9" i="51"/>
  <c r="BG9" i="51"/>
  <c r="BF9" i="51"/>
  <c r="BE9" i="51"/>
  <c r="BD9" i="51"/>
  <c r="BC9" i="51"/>
  <c r="BB9" i="51"/>
  <c r="BA9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F9" i="51"/>
  <c r="AA9" i="51"/>
  <c r="V9" i="51"/>
  <c r="Q9" i="51"/>
  <c r="L9" i="51"/>
  <c r="G9" i="51"/>
  <c r="BK8" i="51"/>
  <c r="BJ8" i="51"/>
  <c r="BI8" i="51"/>
  <c r="BH8" i="51"/>
  <c r="BG8" i="51"/>
  <c r="BF8" i="51"/>
  <c r="BE8" i="51"/>
  <c r="BD8" i="51"/>
  <c r="BC8" i="51"/>
  <c r="BB8" i="51"/>
  <c r="BA8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I8" i="51"/>
  <c r="AH8" i="51"/>
  <c r="AA8" i="51"/>
  <c r="V8" i="51"/>
  <c r="Q8" i="51"/>
  <c r="L8" i="51"/>
  <c r="G8" i="51"/>
  <c r="BK7" i="51"/>
  <c r="BJ7" i="51"/>
  <c r="BI7" i="51"/>
  <c r="BH7" i="51"/>
  <c r="BG7" i="51"/>
  <c r="BF7" i="51"/>
  <c r="BE7" i="51"/>
  <c r="BD7" i="51"/>
  <c r="BC7" i="51"/>
  <c r="BB7" i="51"/>
  <c r="BA7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I7" i="51"/>
  <c r="AH7" i="51"/>
  <c r="AG7" i="51"/>
  <c r="AF7" i="51"/>
  <c r="AE7" i="51"/>
  <c r="AD7" i="51"/>
  <c r="AC7" i="51"/>
  <c r="V7" i="51"/>
  <c r="Q7" i="51"/>
  <c r="J8" i="52" s="1"/>
  <c r="L7" i="51"/>
  <c r="G7" i="51"/>
  <c r="BK6" i="51"/>
  <c r="BJ6" i="51"/>
  <c r="BI6" i="51"/>
  <c r="BH6" i="51"/>
  <c r="BG6" i="51"/>
  <c r="BF6" i="51"/>
  <c r="BE6" i="51"/>
  <c r="BD6" i="51"/>
  <c r="BC6" i="51"/>
  <c r="BB6" i="51"/>
  <c r="BA6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I6" i="51"/>
  <c r="AH6" i="51"/>
  <c r="AG6" i="51"/>
  <c r="AF6" i="51"/>
  <c r="AE6" i="51"/>
  <c r="AD6" i="51"/>
  <c r="AC6" i="51"/>
  <c r="AB6" i="51"/>
  <c r="AA6" i="51"/>
  <c r="Z6" i="51"/>
  <c r="Y6" i="51"/>
  <c r="X6" i="51"/>
  <c r="Q6" i="51"/>
  <c r="L6" i="51"/>
  <c r="G6" i="51"/>
  <c r="BK5" i="51"/>
  <c r="BJ5" i="51"/>
  <c r="BI5" i="51"/>
  <c r="BH5" i="51"/>
  <c r="BG5" i="51"/>
  <c r="BF5" i="51"/>
  <c r="BE5" i="51"/>
  <c r="BD5" i="51"/>
  <c r="BC5" i="51"/>
  <c r="BB5" i="51"/>
  <c r="BA5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I5" i="51"/>
  <c r="AH5" i="51"/>
  <c r="AG5" i="51"/>
  <c r="AF5" i="51"/>
  <c r="AE5" i="51"/>
  <c r="AD5" i="51"/>
  <c r="AC5" i="51"/>
  <c r="AB5" i="51"/>
  <c r="AA5" i="51"/>
  <c r="Z5" i="51"/>
  <c r="Y5" i="51"/>
  <c r="X5" i="51"/>
  <c r="W5" i="51"/>
  <c r="U5" i="51"/>
  <c r="T5" i="51"/>
  <c r="V5" i="51" s="1"/>
  <c r="S5" i="51"/>
  <c r="L5" i="51"/>
  <c r="G5" i="51"/>
  <c r="BK4" i="51"/>
  <c r="BJ4" i="51"/>
  <c r="BI4" i="51"/>
  <c r="BH4" i="51"/>
  <c r="BG4" i="51"/>
  <c r="BF4" i="51"/>
  <c r="BE4" i="51"/>
  <c r="BD4" i="51"/>
  <c r="BC4" i="51"/>
  <c r="BB4" i="51"/>
  <c r="BA4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I4" i="51"/>
  <c r="AH4" i="51"/>
  <c r="AG4" i="51"/>
  <c r="AF4" i="51"/>
  <c r="AE4" i="51"/>
  <c r="AD4" i="51"/>
  <c r="AC4" i="51"/>
  <c r="AB4" i="51"/>
  <c r="AA4" i="51"/>
  <c r="Z4" i="51"/>
  <c r="Y4" i="51"/>
  <c r="X4" i="51"/>
  <c r="W4" i="51"/>
  <c r="V4" i="51"/>
  <c r="U4" i="51"/>
  <c r="T4" i="51"/>
  <c r="S4" i="51"/>
  <c r="R4" i="51"/>
  <c r="Q4" i="51"/>
  <c r="P4" i="51"/>
  <c r="O4" i="51"/>
  <c r="N4" i="51"/>
  <c r="G4" i="51"/>
  <c r="BK3" i="51"/>
  <c r="BJ3" i="51"/>
  <c r="BI3" i="51"/>
  <c r="BH3" i="51"/>
  <c r="BG3" i="51"/>
  <c r="BF3" i="51"/>
  <c r="BE3" i="51"/>
  <c r="BD3" i="51"/>
  <c r="BC3" i="51"/>
  <c r="BB3" i="51"/>
  <c r="BA3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AI3" i="51"/>
  <c r="AH3" i="51"/>
  <c r="AG3" i="51"/>
  <c r="AF3" i="51"/>
  <c r="AE3" i="51"/>
  <c r="AD3" i="51"/>
  <c r="AC3" i="51"/>
  <c r="AB3" i="51"/>
  <c r="AA3" i="51"/>
  <c r="Z3" i="51"/>
  <c r="Y3" i="51"/>
  <c r="X3" i="51"/>
  <c r="W3" i="51"/>
  <c r="V3" i="51"/>
  <c r="U3" i="51"/>
  <c r="T3" i="51"/>
  <c r="S3" i="51"/>
  <c r="R3" i="51"/>
  <c r="Q3" i="51"/>
  <c r="P3" i="51"/>
  <c r="O3" i="51"/>
  <c r="N3" i="51"/>
  <c r="M3" i="51"/>
  <c r="K3" i="51"/>
  <c r="M7" i="52" s="1"/>
  <c r="J3" i="51"/>
  <c r="N7" i="52" s="1"/>
  <c r="P7" i="52" s="1"/>
  <c r="I3" i="51"/>
  <c r="BG1" i="51"/>
  <c r="BB1" i="51"/>
  <c r="AW1" i="51"/>
  <c r="AR1" i="51"/>
  <c r="AM1" i="51"/>
  <c r="AH1" i="51"/>
  <c r="AC1" i="51"/>
  <c r="X1" i="51"/>
  <c r="S1" i="51"/>
  <c r="N1" i="51"/>
  <c r="I1" i="51"/>
  <c r="D1" i="51"/>
  <c r="K13" i="37" l="1"/>
  <c r="D7" i="63" s="1"/>
  <c r="O3" i="63" s="1"/>
  <c r="K25" i="37"/>
  <c r="D6" i="71" s="1"/>
  <c r="D6" i="72" s="1"/>
  <c r="W30" i="38" s="1"/>
  <c r="M7" i="37"/>
  <c r="D5" i="65" s="1"/>
  <c r="V5" i="53"/>
  <c r="P18" i="54"/>
  <c r="AF3" i="53"/>
  <c r="L3" i="51"/>
  <c r="L7" i="52" s="1"/>
  <c r="I16" i="37"/>
  <c r="D8" i="62" s="1"/>
  <c r="T3" i="62" s="1"/>
  <c r="K28" i="37"/>
  <c r="D7" i="71" s="1"/>
  <c r="O3" i="71" s="1"/>
  <c r="M25" i="37"/>
  <c r="D6" i="73" s="1"/>
  <c r="J3" i="73" s="1"/>
  <c r="M10" i="37"/>
  <c r="D6" i="65" s="1"/>
  <c r="D6" i="66" s="1"/>
  <c r="F15" i="38" s="1"/>
  <c r="O22" i="37"/>
  <c r="D5" i="75" s="1"/>
  <c r="L3" i="53"/>
  <c r="L9" i="54"/>
  <c r="M10" i="54"/>
  <c r="N11" i="54"/>
  <c r="P11" i="54" s="1"/>
  <c r="L13" i="54"/>
  <c r="M14" i="54"/>
  <c r="N15" i="54"/>
  <c r="P15" i="54" s="1"/>
  <c r="M17" i="54"/>
  <c r="M11" i="54"/>
  <c r="O11" i="54" s="1"/>
  <c r="M15" i="54"/>
  <c r="O15" i="54" s="1"/>
  <c r="L7" i="54"/>
  <c r="M12" i="54"/>
  <c r="N13" i="54"/>
  <c r="P13" i="54" s="1"/>
  <c r="M16" i="54"/>
  <c r="K18" i="54"/>
  <c r="N8" i="54"/>
  <c r="P8" i="54" s="1"/>
  <c r="K10" i="54"/>
  <c r="N12" i="54"/>
  <c r="P12" i="54" s="1"/>
  <c r="K14" i="54"/>
  <c r="N16" i="54"/>
  <c r="P16" i="54" s="1"/>
  <c r="L17" i="54"/>
  <c r="M8" i="54"/>
  <c r="N9" i="54"/>
  <c r="P9" i="54" s="1"/>
  <c r="L11" i="54"/>
  <c r="L15" i="54"/>
  <c r="K8" i="54"/>
  <c r="M9" i="54"/>
  <c r="O9" i="54" s="1"/>
  <c r="N10" i="54"/>
  <c r="P10" i="54" s="1"/>
  <c r="K12" i="54"/>
  <c r="M13" i="54"/>
  <c r="N14" i="54"/>
  <c r="P14" i="54" s="1"/>
  <c r="K16" i="54"/>
  <c r="N8" i="52"/>
  <c r="P8" i="52" s="1"/>
  <c r="M11" i="52"/>
  <c r="M15" i="52"/>
  <c r="L10" i="52"/>
  <c r="N12" i="52"/>
  <c r="P12" i="52" s="1"/>
  <c r="L14" i="52"/>
  <c r="N16" i="52"/>
  <c r="P16" i="52" s="1"/>
  <c r="L11" i="52"/>
  <c r="L15" i="52"/>
  <c r="J18" i="52"/>
  <c r="N10" i="52"/>
  <c r="P10" i="52" s="1"/>
  <c r="J12" i="52"/>
  <c r="N14" i="52"/>
  <c r="P14" i="52" s="1"/>
  <c r="J16" i="52"/>
  <c r="K7" i="52"/>
  <c r="M8" i="52"/>
  <c r="N9" i="52"/>
  <c r="P9" i="52" s="1"/>
  <c r="K11" i="52"/>
  <c r="M12" i="52"/>
  <c r="N13" i="52"/>
  <c r="P13" i="52" s="1"/>
  <c r="K15" i="52"/>
  <c r="M16" i="52"/>
  <c r="N17" i="52"/>
  <c r="P17" i="52" s="1"/>
  <c r="L18" i="52"/>
  <c r="L8" i="52"/>
  <c r="M9" i="52"/>
  <c r="O9" i="52" s="1"/>
  <c r="L12" i="52"/>
  <c r="M13" i="52"/>
  <c r="L16" i="52"/>
  <c r="M17" i="52"/>
  <c r="K9" i="52"/>
  <c r="M10" i="52"/>
  <c r="N11" i="52"/>
  <c r="P11" i="52" s="1"/>
  <c r="K13" i="52"/>
  <c r="M14" i="52"/>
  <c r="N15" i="52"/>
  <c r="P15" i="52" s="1"/>
  <c r="K17" i="52"/>
  <c r="D6" i="74"/>
  <c r="F7" i="38" s="1"/>
  <c r="D5" i="68"/>
  <c r="W26" i="38" s="1"/>
  <c r="E3" i="67"/>
  <c r="D5" i="76"/>
  <c r="W18" i="38" s="1"/>
  <c r="E3" i="75"/>
  <c r="D8" i="70"/>
  <c r="T3" i="69"/>
  <c r="D6" i="64"/>
  <c r="W22" i="38" s="1"/>
  <c r="J3" i="63"/>
  <c r="O3" i="62"/>
  <c r="D7" i="29"/>
  <c r="D8" i="68"/>
  <c r="T3" i="67"/>
  <c r="E3" i="65"/>
  <c r="D5" i="66"/>
  <c r="W11" i="38" s="1"/>
  <c r="E3" i="73"/>
  <c r="D5" i="74"/>
  <c r="W3" i="38" s="1"/>
  <c r="D7" i="70"/>
  <c r="O3" i="69"/>
  <c r="D8" i="76"/>
  <c r="T3" i="75"/>
  <c r="I19" i="54"/>
  <c r="O18" i="54"/>
  <c r="O10" i="54"/>
  <c r="I19" i="52"/>
  <c r="O7" i="52"/>
  <c r="O11" i="52"/>
  <c r="O17" i="54"/>
  <c r="J7" i="54"/>
  <c r="L18" i="54"/>
  <c r="J17" i="54"/>
  <c r="L8" i="54"/>
  <c r="J9" i="54"/>
  <c r="L10" i="54"/>
  <c r="J11" i="54"/>
  <c r="L12" i="54"/>
  <c r="J13" i="54"/>
  <c r="L14" i="54"/>
  <c r="J15" i="54"/>
  <c r="L16" i="54"/>
  <c r="K7" i="54"/>
  <c r="O7" i="54"/>
  <c r="K17" i="54"/>
  <c r="K9" i="54"/>
  <c r="K11" i="54"/>
  <c r="K13" i="54"/>
  <c r="K15" i="54"/>
  <c r="P7" i="54"/>
  <c r="J18" i="54"/>
  <c r="J8" i="54"/>
  <c r="Q8" i="54" s="1"/>
  <c r="J10" i="54"/>
  <c r="J12" i="54"/>
  <c r="J14" i="54"/>
  <c r="Q14" i="54" s="1"/>
  <c r="J16" i="54"/>
  <c r="O12" i="52"/>
  <c r="O16" i="52"/>
  <c r="O17" i="52"/>
  <c r="O14" i="52"/>
  <c r="L9" i="52"/>
  <c r="L17" i="52"/>
  <c r="K18" i="52"/>
  <c r="O18" i="52"/>
  <c r="K8" i="52"/>
  <c r="Q8" i="52" s="1"/>
  <c r="K10" i="52"/>
  <c r="K12" i="52"/>
  <c r="K14" i="52"/>
  <c r="K16" i="52"/>
  <c r="Q16" i="52" s="1"/>
  <c r="J10" i="52"/>
  <c r="L13" i="52"/>
  <c r="J14" i="52"/>
  <c r="P18" i="52"/>
  <c r="J7" i="52"/>
  <c r="Q7" i="52" s="1"/>
  <c r="J9" i="52"/>
  <c r="Q9" i="52" s="1"/>
  <c r="J11" i="52"/>
  <c r="Q11" i="52" s="1"/>
  <c r="J13" i="52"/>
  <c r="Q13" i="52" s="1"/>
  <c r="J15" i="52"/>
  <c r="Q15" i="52" s="1"/>
  <c r="J17" i="52"/>
  <c r="Q17" i="52" s="1"/>
  <c r="H16" i="50"/>
  <c r="H15" i="50"/>
  <c r="I14" i="50"/>
  <c r="H14" i="50"/>
  <c r="I13" i="50"/>
  <c r="H13" i="50"/>
  <c r="I12" i="50"/>
  <c r="H12" i="50"/>
  <c r="M31" i="37" s="1"/>
  <c r="D8" i="73" s="1"/>
  <c r="I8" i="50"/>
  <c r="H8" i="50"/>
  <c r="I11" i="50"/>
  <c r="H11" i="50"/>
  <c r="I9" i="50"/>
  <c r="H9" i="50"/>
  <c r="I10" i="50"/>
  <c r="H10" i="50"/>
  <c r="I25" i="37" s="1"/>
  <c r="D6" i="69" s="1"/>
  <c r="I7" i="50"/>
  <c r="H7" i="50"/>
  <c r="I18" i="50"/>
  <c r="H18" i="50"/>
  <c r="K22" i="37" s="1"/>
  <c r="D5" i="71" s="1"/>
  <c r="N17" i="50"/>
  <c r="M17" i="50"/>
  <c r="I17" i="50"/>
  <c r="H17" i="50"/>
  <c r="K7" i="37" s="1"/>
  <c r="D5" i="63" s="1"/>
  <c r="BE14" i="49"/>
  <c r="AZ14" i="49"/>
  <c r="AU14" i="49"/>
  <c r="AP14" i="49"/>
  <c r="AK14" i="49"/>
  <c r="AF14" i="49"/>
  <c r="V14" i="49"/>
  <c r="Q14" i="49"/>
  <c r="L14" i="49"/>
  <c r="BK13" i="49"/>
  <c r="BJ13" i="49"/>
  <c r="BI13" i="49"/>
  <c r="BH13" i="49"/>
  <c r="BG13" i="49"/>
  <c r="AZ13" i="49"/>
  <c r="AU13" i="49"/>
  <c r="AP13" i="49"/>
  <c r="AK13" i="49"/>
  <c r="AF13" i="49"/>
  <c r="V13" i="49"/>
  <c r="Q13" i="49"/>
  <c r="L13" i="49"/>
  <c r="BK12" i="49"/>
  <c r="BJ12" i="49"/>
  <c r="BI12" i="49"/>
  <c r="BH12" i="49"/>
  <c r="BG12" i="49"/>
  <c r="BF12" i="49"/>
  <c r="BE12" i="49"/>
  <c r="BD12" i="49"/>
  <c r="BC12" i="49"/>
  <c r="BB12" i="49"/>
  <c r="AU12" i="49"/>
  <c r="AP12" i="49"/>
  <c r="AK12" i="49"/>
  <c r="AF12" i="49"/>
  <c r="V12" i="49"/>
  <c r="Q12" i="49"/>
  <c r="L12" i="49"/>
  <c r="BK11" i="49"/>
  <c r="BJ11" i="49"/>
  <c r="BI11" i="49"/>
  <c r="BH11" i="49"/>
  <c r="BG11" i="49"/>
  <c r="BF11" i="49"/>
  <c r="BE11" i="49"/>
  <c r="BD11" i="49"/>
  <c r="BC11" i="49"/>
  <c r="BB11" i="49"/>
  <c r="BA11" i="49"/>
  <c r="AZ11" i="49"/>
  <c r="AY11" i="49"/>
  <c r="AX11" i="49"/>
  <c r="AW11" i="49"/>
  <c r="AP11" i="49"/>
  <c r="AK11" i="49"/>
  <c r="AF11" i="49"/>
  <c r="V11" i="49"/>
  <c r="Q11" i="49"/>
  <c r="L11" i="49"/>
  <c r="BK10" i="49"/>
  <c r="BJ10" i="49"/>
  <c r="BI10" i="49"/>
  <c r="BH10" i="49"/>
  <c r="BG10" i="49"/>
  <c r="BF10" i="49"/>
  <c r="BE10" i="49"/>
  <c r="BD10" i="49"/>
  <c r="BC10" i="49"/>
  <c r="BB10" i="49"/>
  <c r="BA10" i="49"/>
  <c r="AZ10" i="49"/>
  <c r="AY10" i="49"/>
  <c r="AX10" i="49"/>
  <c r="AW10" i="49"/>
  <c r="AV10" i="49"/>
  <c r="AU10" i="49"/>
  <c r="AT10" i="49"/>
  <c r="AS10" i="49"/>
  <c r="AR10" i="49"/>
  <c r="AK10" i="49"/>
  <c r="AF10" i="49"/>
  <c r="V10" i="49"/>
  <c r="Q10" i="49"/>
  <c r="L10" i="49"/>
  <c r="BK9" i="49"/>
  <c r="BJ9" i="49"/>
  <c r="BI9" i="49"/>
  <c r="BH9" i="49"/>
  <c r="BG9" i="49"/>
  <c r="BF9" i="49"/>
  <c r="BE9" i="49"/>
  <c r="BD9" i="49"/>
  <c r="BC9" i="49"/>
  <c r="BB9" i="49"/>
  <c r="BA9" i="49"/>
  <c r="AZ9" i="49"/>
  <c r="AY9" i="49"/>
  <c r="AX9" i="49"/>
  <c r="AW9" i="49"/>
  <c r="AV9" i="49"/>
  <c r="AU9" i="49"/>
  <c r="AT9" i="49"/>
  <c r="AS9" i="49"/>
  <c r="AR9" i="49"/>
  <c r="AQ9" i="49"/>
  <c r="AP9" i="49"/>
  <c r="AO9" i="49"/>
  <c r="AN9" i="49"/>
  <c r="AM9" i="49"/>
  <c r="AF9" i="49"/>
  <c r="V9" i="49"/>
  <c r="Q9" i="49"/>
  <c r="L9" i="49"/>
  <c r="BK8" i="49"/>
  <c r="BJ8" i="49"/>
  <c r="BI8" i="49"/>
  <c r="BH8" i="49"/>
  <c r="BG8" i="49"/>
  <c r="BF8" i="49"/>
  <c r="BE8" i="49"/>
  <c r="BD8" i="49"/>
  <c r="BC8" i="49"/>
  <c r="BB8" i="49"/>
  <c r="BA8" i="49"/>
  <c r="AZ8" i="49"/>
  <c r="AY8" i="49"/>
  <c r="AX8" i="49"/>
  <c r="AW8" i="49"/>
  <c r="AV8" i="49"/>
  <c r="AU8" i="49"/>
  <c r="AT8" i="49"/>
  <c r="AS8" i="49"/>
  <c r="AR8" i="49"/>
  <c r="AQ8" i="49"/>
  <c r="AP8" i="49"/>
  <c r="AO8" i="49"/>
  <c r="AN8" i="49"/>
  <c r="AM8" i="49"/>
  <c r="AL8" i="49"/>
  <c r="AK8" i="49"/>
  <c r="AJ8" i="49"/>
  <c r="AI8" i="49"/>
  <c r="AH8" i="49"/>
  <c r="AA8" i="49"/>
  <c r="V8" i="49"/>
  <c r="Q8" i="49"/>
  <c r="L8" i="49"/>
  <c r="BK7" i="49"/>
  <c r="BJ7" i="49"/>
  <c r="BI7" i="49"/>
  <c r="BH7" i="49"/>
  <c r="BG7" i="49"/>
  <c r="BF7" i="49"/>
  <c r="BE7" i="49"/>
  <c r="BD7" i="49"/>
  <c r="BC7" i="49"/>
  <c r="BB7" i="49"/>
  <c r="BA7" i="49"/>
  <c r="AZ7" i="49"/>
  <c r="AY7" i="49"/>
  <c r="AX7" i="49"/>
  <c r="AW7" i="49"/>
  <c r="AV7" i="49"/>
  <c r="AU7" i="49"/>
  <c r="AT7" i="49"/>
  <c r="AS7" i="49"/>
  <c r="AR7" i="49"/>
  <c r="AQ7" i="49"/>
  <c r="AP7" i="49"/>
  <c r="AO7" i="49"/>
  <c r="AN7" i="49"/>
  <c r="AM7" i="49"/>
  <c r="AL7" i="49"/>
  <c r="AJ7" i="49"/>
  <c r="AI7" i="49"/>
  <c r="AH7" i="49"/>
  <c r="AG7" i="49"/>
  <c r="AF7" i="49"/>
  <c r="AE7" i="49"/>
  <c r="AD7" i="49"/>
  <c r="AC7" i="49"/>
  <c r="V7" i="49"/>
  <c r="Q7" i="49"/>
  <c r="L7" i="49"/>
  <c r="BK6" i="49"/>
  <c r="BJ6" i="49"/>
  <c r="BI6" i="49"/>
  <c r="BH6" i="49"/>
  <c r="BG6" i="49"/>
  <c r="BF6" i="49"/>
  <c r="BE6" i="49"/>
  <c r="BD6" i="49"/>
  <c r="BC6" i="49"/>
  <c r="BB6" i="49"/>
  <c r="BA6" i="49"/>
  <c r="AZ6" i="49"/>
  <c r="AY6" i="49"/>
  <c r="AX6" i="49"/>
  <c r="AW6" i="49"/>
  <c r="AV6" i="49"/>
  <c r="AU6" i="49"/>
  <c r="AT6" i="49"/>
  <c r="AS6" i="49"/>
  <c r="AR6" i="49"/>
  <c r="AQ6" i="49"/>
  <c r="AP6" i="49"/>
  <c r="AO6" i="49"/>
  <c r="AN6" i="49"/>
  <c r="AM6" i="49"/>
  <c r="AL6" i="49"/>
  <c r="AK6" i="49"/>
  <c r="AJ6" i="49"/>
  <c r="AI6" i="49"/>
  <c r="AH6" i="49"/>
  <c r="AG6" i="49"/>
  <c r="AF6" i="49"/>
  <c r="AE6" i="49"/>
  <c r="AD6" i="49"/>
  <c r="AC6" i="49"/>
  <c r="AB6" i="49"/>
  <c r="AA6" i="49"/>
  <c r="Z6" i="49"/>
  <c r="Y6" i="49"/>
  <c r="X6" i="49"/>
  <c r="BK5" i="49"/>
  <c r="BJ5" i="49"/>
  <c r="BI5" i="49"/>
  <c r="BH5" i="49"/>
  <c r="BG5" i="49"/>
  <c r="BF5" i="49"/>
  <c r="BE5" i="49"/>
  <c r="BD5" i="49"/>
  <c r="BC5" i="49"/>
  <c r="BB5" i="49"/>
  <c r="BA5" i="49"/>
  <c r="AZ5" i="49"/>
  <c r="AY5" i="49"/>
  <c r="AX5" i="49"/>
  <c r="AW5" i="49"/>
  <c r="AV5" i="49"/>
  <c r="AU5" i="49"/>
  <c r="AT5" i="49"/>
  <c r="AS5" i="49"/>
  <c r="AR5" i="49"/>
  <c r="AQ5" i="49"/>
  <c r="AP5" i="49"/>
  <c r="AO5" i="49"/>
  <c r="AN5" i="49"/>
  <c r="AM5" i="49"/>
  <c r="AL5" i="49"/>
  <c r="AK5" i="49"/>
  <c r="AJ5" i="49"/>
  <c r="AI5" i="49"/>
  <c r="AH5" i="49"/>
  <c r="AG5" i="49"/>
  <c r="AF5" i="49"/>
  <c r="AE5" i="49"/>
  <c r="AD5" i="49"/>
  <c r="AC5" i="49"/>
  <c r="AB5" i="49"/>
  <c r="AA5" i="49"/>
  <c r="Z5" i="49"/>
  <c r="Y5" i="49"/>
  <c r="X5" i="49"/>
  <c r="W5" i="49"/>
  <c r="U5" i="49"/>
  <c r="T5" i="49"/>
  <c r="S5" i="49"/>
  <c r="L17" i="50"/>
  <c r="BK4" i="49"/>
  <c r="BJ4" i="49"/>
  <c r="BI4" i="49"/>
  <c r="BH4" i="49"/>
  <c r="BG4" i="49"/>
  <c r="BF4" i="49"/>
  <c r="BE4" i="49"/>
  <c r="BD4" i="49"/>
  <c r="BC4" i="49"/>
  <c r="BB4" i="49"/>
  <c r="BA4" i="49"/>
  <c r="AZ4" i="49"/>
  <c r="AY4" i="49"/>
  <c r="AX4" i="49"/>
  <c r="AW4" i="49"/>
  <c r="AV4" i="49"/>
  <c r="AU4" i="49"/>
  <c r="AT4" i="49"/>
  <c r="AS4" i="49"/>
  <c r="AR4" i="49"/>
  <c r="AQ4" i="49"/>
  <c r="AP4" i="49"/>
  <c r="AO4" i="49"/>
  <c r="AN4" i="49"/>
  <c r="AM4" i="49"/>
  <c r="AL4" i="49"/>
  <c r="AK4" i="49"/>
  <c r="AJ4" i="49"/>
  <c r="AI4" i="49"/>
  <c r="AH4" i="49"/>
  <c r="AG4" i="49"/>
  <c r="AF4" i="49"/>
  <c r="AE4" i="49"/>
  <c r="AD4" i="49"/>
  <c r="AC4" i="49"/>
  <c r="AB4" i="49"/>
  <c r="Z4" i="49"/>
  <c r="Y4" i="49"/>
  <c r="AA4" i="49" s="1"/>
  <c r="X4" i="49"/>
  <c r="W4" i="49"/>
  <c r="U4" i="49"/>
  <c r="T4" i="49"/>
  <c r="V4" i="49" s="1"/>
  <c r="S4" i="49"/>
  <c r="R4" i="49"/>
  <c r="P4" i="49"/>
  <c r="O4" i="49"/>
  <c r="N4" i="49"/>
  <c r="BK3" i="49"/>
  <c r="BJ3" i="49"/>
  <c r="BI3" i="49"/>
  <c r="BH3" i="49"/>
  <c r="BG3" i="49"/>
  <c r="BF3" i="49"/>
  <c r="BE3" i="49"/>
  <c r="BD3" i="49"/>
  <c r="BC3" i="49"/>
  <c r="N15" i="50" s="1"/>
  <c r="P15" i="50" s="1"/>
  <c r="BB3" i="49"/>
  <c r="BA3" i="49"/>
  <c r="AZ3" i="49"/>
  <c r="AY3" i="49"/>
  <c r="M14" i="50" s="1"/>
  <c r="AX3" i="49"/>
  <c r="AW3" i="49"/>
  <c r="AV3" i="49"/>
  <c r="AU3" i="49"/>
  <c r="L13" i="50" s="1"/>
  <c r="AT3" i="49"/>
  <c r="AS3" i="49"/>
  <c r="AR3" i="49"/>
  <c r="AQ3" i="49"/>
  <c r="AP3" i="49"/>
  <c r="AO3" i="49"/>
  <c r="AN3" i="49"/>
  <c r="AM3" i="49"/>
  <c r="AL3" i="49"/>
  <c r="AK3" i="49"/>
  <c r="AJ3" i="49"/>
  <c r="AI3" i="49"/>
  <c r="N8" i="50" s="1"/>
  <c r="P8" i="50" s="1"/>
  <c r="AH3" i="49"/>
  <c r="AG3" i="49"/>
  <c r="AE3" i="49"/>
  <c r="AD3" i="49"/>
  <c r="N11" i="50" s="1"/>
  <c r="P11" i="50" s="1"/>
  <c r="AC3" i="49"/>
  <c r="AB3" i="49"/>
  <c r="AA3" i="49"/>
  <c r="Z3" i="49"/>
  <c r="Y3" i="49"/>
  <c r="X3" i="49"/>
  <c r="W3" i="49"/>
  <c r="U3" i="49"/>
  <c r="T3" i="49"/>
  <c r="S3" i="49"/>
  <c r="R3" i="49"/>
  <c r="P3" i="49"/>
  <c r="M7" i="50" s="1"/>
  <c r="O3" i="49"/>
  <c r="N3" i="49"/>
  <c r="M3" i="49"/>
  <c r="K3" i="49"/>
  <c r="M18" i="50" s="1"/>
  <c r="J3" i="49"/>
  <c r="N18" i="50" s="1"/>
  <c r="I3" i="49"/>
  <c r="BG1" i="49"/>
  <c r="BB1" i="49"/>
  <c r="AW1" i="49"/>
  <c r="AR1" i="49"/>
  <c r="AM1" i="49"/>
  <c r="AH1" i="49"/>
  <c r="AC1" i="49"/>
  <c r="X1" i="49"/>
  <c r="S1" i="49"/>
  <c r="N1" i="49"/>
  <c r="I1" i="49"/>
  <c r="D1" i="49"/>
  <c r="H12" i="14"/>
  <c r="H18" i="14"/>
  <c r="H8" i="14"/>
  <c r="H7" i="14"/>
  <c r="H10" i="14"/>
  <c r="H11" i="14"/>
  <c r="H17" i="14"/>
  <c r="H13" i="14"/>
  <c r="H14" i="14"/>
  <c r="H15" i="14"/>
  <c r="H16" i="14"/>
  <c r="H9" i="14"/>
  <c r="I14" i="14"/>
  <c r="I13" i="14"/>
  <c r="I12" i="14"/>
  <c r="I17" i="14"/>
  <c r="I11" i="14"/>
  <c r="I8" i="14"/>
  <c r="D7" i="64" l="1"/>
  <c r="M16" i="37"/>
  <c r="D8" i="65" s="1"/>
  <c r="D8" i="66" s="1"/>
  <c r="D7" i="72"/>
  <c r="O28" i="37"/>
  <c r="D7" i="75" s="1"/>
  <c r="D7" i="76" s="1"/>
  <c r="J3" i="71"/>
  <c r="AK7" i="49"/>
  <c r="O8" i="54"/>
  <c r="V3" i="49"/>
  <c r="P18" i="50"/>
  <c r="N7" i="50"/>
  <c r="O8" i="52"/>
  <c r="D8" i="29"/>
  <c r="O13" i="37"/>
  <c r="D7" i="67" s="1"/>
  <c r="O3" i="67" s="1"/>
  <c r="J3" i="65"/>
  <c r="I10" i="37"/>
  <c r="D6" i="62" s="1"/>
  <c r="J3" i="62" s="1"/>
  <c r="Q18" i="54"/>
  <c r="N9" i="50"/>
  <c r="P9" i="50" s="1"/>
  <c r="M9" i="50"/>
  <c r="Q12" i="54"/>
  <c r="N19" i="54"/>
  <c r="Q10" i="54"/>
  <c r="M19" i="54"/>
  <c r="O14" i="54"/>
  <c r="O13" i="54"/>
  <c r="O16" i="54"/>
  <c r="O12" i="54"/>
  <c r="Q16" i="54"/>
  <c r="Q12" i="52"/>
  <c r="O13" i="52"/>
  <c r="M19" i="52"/>
  <c r="N19" i="52"/>
  <c r="O15" i="52"/>
  <c r="O10" i="52"/>
  <c r="L9" i="50"/>
  <c r="M11" i="50"/>
  <c r="M8" i="50"/>
  <c r="N12" i="50"/>
  <c r="P12" i="50" s="1"/>
  <c r="K14" i="50"/>
  <c r="M15" i="50"/>
  <c r="N16" i="50"/>
  <c r="P16" i="50" s="1"/>
  <c r="L8" i="50"/>
  <c r="M12" i="50"/>
  <c r="N13" i="50"/>
  <c r="P13" i="50" s="1"/>
  <c r="L15" i="50"/>
  <c r="M16" i="50"/>
  <c r="O16" i="50" s="1"/>
  <c r="K12" i="50"/>
  <c r="M13" i="50"/>
  <c r="N14" i="50"/>
  <c r="P14" i="50" s="1"/>
  <c r="K16" i="50"/>
  <c r="L12" i="50"/>
  <c r="L16" i="50"/>
  <c r="D5" i="64"/>
  <c r="F18" i="38" s="1"/>
  <c r="E3" i="63"/>
  <c r="E3" i="71"/>
  <c r="D5" i="72"/>
  <c r="F26" i="38" s="1"/>
  <c r="D6" i="70"/>
  <c r="W15" i="38" s="1"/>
  <c r="J3" i="69"/>
  <c r="D8" i="74"/>
  <c r="T3" i="73"/>
  <c r="D7" i="68"/>
  <c r="L19" i="54"/>
  <c r="Q14" i="52"/>
  <c r="L19" i="52"/>
  <c r="Q3" i="49"/>
  <c r="Q4" i="49"/>
  <c r="K7" i="50" s="1"/>
  <c r="O8" i="50"/>
  <c r="O15" i="50"/>
  <c r="P7" i="50"/>
  <c r="V5" i="49"/>
  <c r="M10" i="50"/>
  <c r="N10" i="50"/>
  <c r="P10" i="50" s="1"/>
  <c r="O7" i="50"/>
  <c r="I19" i="50"/>
  <c r="L3" i="49"/>
  <c r="K18" i="50" s="1"/>
  <c r="Q15" i="54"/>
  <c r="Q11" i="54"/>
  <c r="Q17" i="54"/>
  <c r="K19" i="54"/>
  <c r="Q13" i="54"/>
  <c r="Q9" i="54"/>
  <c r="J19" i="54"/>
  <c r="Q7" i="54"/>
  <c r="K19" i="52"/>
  <c r="J19" i="52"/>
  <c r="Q10" i="52"/>
  <c r="Q18" i="52"/>
  <c r="AF3" i="49"/>
  <c r="K11" i="50" s="1"/>
  <c r="O17" i="50"/>
  <c r="O13" i="50"/>
  <c r="O18" i="50"/>
  <c r="O11" i="50"/>
  <c r="O14" i="50"/>
  <c r="J17" i="50"/>
  <c r="L18" i="50"/>
  <c r="J9" i="50"/>
  <c r="L11" i="50"/>
  <c r="J8" i="50"/>
  <c r="J13" i="50"/>
  <c r="L14" i="50"/>
  <c r="J15" i="50"/>
  <c r="K17" i="50"/>
  <c r="K9" i="50"/>
  <c r="K8" i="50"/>
  <c r="K13" i="50"/>
  <c r="K15" i="50"/>
  <c r="P17" i="50"/>
  <c r="J18" i="50"/>
  <c r="J10" i="50"/>
  <c r="J11" i="50"/>
  <c r="J12" i="50"/>
  <c r="Q12" i="50" s="1"/>
  <c r="J14" i="50"/>
  <c r="Q14" i="50" s="1"/>
  <c r="J16" i="50"/>
  <c r="BJ12" i="1"/>
  <c r="BE6" i="1"/>
  <c r="P9" i="14"/>
  <c r="M9" i="14"/>
  <c r="BK13" i="1"/>
  <c r="BI13" i="1"/>
  <c r="BH13" i="1"/>
  <c r="BJ13" i="1" s="1"/>
  <c r="BG13" i="1"/>
  <c r="BK12" i="1"/>
  <c r="BI12" i="1"/>
  <c r="BH12" i="1"/>
  <c r="BG12" i="1"/>
  <c r="BF12" i="1"/>
  <c r="BD12" i="1"/>
  <c r="BC12" i="1"/>
  <c r="BE12" i="1" s="1"/>
  <c r="BB12" i="1"/>
  <c r="BK11" i="1"/>
  <c r="BI11" i="1"/>
  <c r="BH11" i="1"/>
  <c r="BJ11" i="1" s="1"/>
  <c r="BG11" i="1"/>
  <c r="BF11" i="1"/>
  <c r="BD11" i="1"/>
  <c r="BC11" i="1"/>
  <c r="BE11" i="1" s="1"/>
  <c r="BB11" i="1"/>
  <c r="BA11" i="1"/>
  <c r="AY11" i="1"/>
  <c r="AZ11" i="1" s="1"/>
  <c r="AX11" i="1"/>
  <c r="AW11" i="1"/>
  <c r="BK10" i="1"/>
  <c r="BI10" i="1"/>
  <c r="BH10" i="1"/>
  <c r="BJ10" i="1" s="1"/>
  <c r="BG10" i="1"/>
  <c r="BF10" i="1"/>
  <c r="BD10" i="1"/>
  <c r="BC10" i="1"/>
  <c r="BE10" i="1" s="1"/>
  <c r="BB10" i="1"/>
  <c r="BA10" i="1"/>
  <c r="AY10" i="1"/>
  <c r="AX10" i="1"/>
  <c r="AZ10" i="1" s="1"/>
  <c r="AW10" i="1"/>
  <c r="AV10" i="1"/>
  <c r="AT10" i="1"/>
  <c r="AS10" i="1"/>
  <c r="AU10" i="1" s="1"/>
  <c r="AR10" i="1"/>
  <c r="BK9" i="1"/>
  <c r="BI9" i="1"/>
  <c r="BH9" i="1"/>
  <c r="BJ9" i="1" s="1"/>
  <c r="BG9" i="1"/>
  <c r="BF9" i="1"/>
  <c r="BD9" i="1"/>
  <c r="BC9" i="1"/>
  <c r="BE9" i="1" s="1"/>
  <c r="BB9" i="1"/>
  <c r="BA9" i="1"/>
  <c r="AY9" i="1"/>
  <c r="AX9" i="1"/>
  <c r="AZ9" i="1" s="1"/>
  <c r="AW9" i="1"/>
  <c r="AV9" i="1"/>
  <c r="AT9" i="1"/>
  <c r="AS9" i="1"/>
  <c r="AU9" i="1" s="1"/>
  <c r="AR9" i="1"/>
  <c r="AQ9" i="1"/>
  <c r="AO9" i="1"/>
  <c r="AN9" i="1"/>
  <c r="AP9" i="1" s="1"/>
  <c r="AM9" i="1"/>
  <c r="BK8" i="1"/>
  <c r="BI8" i="1"/>
  <c r="BH8" i="1"/>
  <c r="BJ8" i="1" s="1"/>
  <c r="BG8" i="1"/>
  <c r="BF8" i="1"/>
  <c r="BD8" i="1"/>
  <c r="BC8" i="1"/>
  <c r="BE8" i="1" s="1"/>
  <c r="BB8" i="1"/>
  <c r="BA8" i="1"/>
  <c r="AY8" i="1"/>
  <c r="AX8" i="1"/>
  <c r="AZ8" i="1" s="1"/>
  <c r="AW8" i="1"/>
  <c r="AV8" i="1"/>
  <c r="AT8" i="1"/>
  <c r="AS8" i="1"/>
  <c r="AU8" i="1" s="1"/>
  <c r="AR8" i="1"/>
  <c r="AQ8" i="1"/>
  <c r="AO8" i="1"/>
  <c r="AN8" i="1"/>
  <c r="AP8" i="1" s="1"/>
  <c r="AM8" i="1"/>
  <c r="AL8" i="1"/>
  <c r="AJ8" i="1"/>
  <c r="AI8" i="1"/>
  <c r="AK8" i="1" s="1"/>
  <c r="AH8" i="1"/>
  <c r="BK7" i="1"/>
  <c r="BI7" i="1"/>
  <c r="BH7" i="1"/>
  <c r="BJ7" i="1" s="1"/>
  <c r="BG7" i="1"/>
  <c r="BF7" i="1"/>
  <c r="BD7" i="1"/>
  <c r="BC7" i="1"/>
  <c r="BE7" i="1" s="1"/>
  <c r="BB7" i="1"/>
  <c r="BA7" i="1"/>
  <c r="AY7" i="1"/>
  <c r="AX7" i="1"/>
  <c r="AZ7" i="1" s="1"/>
  <c r="AW7" i="1"/>
  <c r="AV7" i="1"/>
  <c r="AT7" i="1"/>
  <c r="AS7" i="1"/>
  <c r="AU7" i="1" s="1"/>
  <c r="AR7" i="1"/>
  <c r="AQ7" i="1"/>
  <c r="AO7" i="1"/>
  <c r="AN7" i="1"/>
  <c r="AP7" i="1" s="1"/>
  <c r="AM7" i="1"/>
  <c r="AL7" i="1"/>
  <c r="AJ7" i="1"/>
  <c r="AI7" i="1"/>
  <c r="AK7" i="1" s="1"/>
  <c r="AH7" i="1"/>
  <c r="AG7" i="1"/>
  <c r="AE7" i="1"/>
  <c r="AD7" i="1"/>
  <c r="AF7" i="1" s="1"/>
  <c r="AC7" i="1"/>
  <c r="BK6" i="1"/>
  <c r="BI6" i="1"/>
  <c r="BH6" i="1"/>
  <c r="BJ6" i="1" s="1"/>
  <c r="BG6" i="1"/>
  <c r="BF6" i="1"/>
  <c r="BD6" i="1"/>
  <c r="BC6" i="1"/>
  <c r="BB6" i="1"/>
  <c r="BA6" i="1"/>
  <c r="AY6" i="1"/>
  <c r="AX6" i="1"/>
  <c r="AZ6" i="1" s="1"/>
  <c r="AW6" i="1"/>
  <c r="AV6" i="1"/>
  <c r="AT6" i="1"/>
  <c r="AS6" i="1"/>
  <c r="AU6" i="1" s="1"/>
  <c r="AR6" i="1"/>
  <c r="AQ6" i="1"/>
  <c r="AO6" i="1"/>
  <c r="AN6" i="1"/>
  <c r="AP6" i="1" s="1"/>
  <c r="AM6" i="1"/>
  <c r="AL6" i="1"/>
  <c r="AJ6" i="1"/>
  <c r="AI6" i="1"/>
  <c r="AH6" i="1"/>
  <c r="AG6" i="1"/>
  <c r="AE6" i="1"/>
  <c r="AD6" i="1"/>
  <c r="AF6" i="1" s="1"/>
  <c r="AC6" i="1"/>
  <c r="AB6" i="1"/>
  <c r="Z6" i="1"/>
  <c r="Y6" i="1"/>
  <c r="AA6" i="1" s="1"/>
  <c r="X6" i="1"/>
  <c r="BK5" i="1"/>
  <c r="BI5" i="1"/>
  <c r="BH5" i="1"/>
  <c r="BJ5" i="1" s="1"/>
  <c r="BG5" i="1"/>
  <c r="BF5" i="1"/>
  <c r="BD5" i="1"/>
  <c r="BC5" i="1"/>
  <c r="BE5" i="1" s="1"/>
  <c r="BB5" i="1"/>
  <c r="BA5" i="1"/>
  <c r="AY5" i="1"/>
  <c r="AX5" i="1"/>
  <c r="AZ5" i="1" s="1"/>
  <c r="AW5" i="1"/>
  <c r="AV5" i="1"/>
  <c r="AT5" i="1"/>
  <c r="AS5" i="1"/>
  <c r="AU5" i="1" s="1"/>
  <c r="AR5" i="1"/>
  <c r="AQ5" i="1"/>
  <c r="AO5" i="1"/>
  <c r="AN5" i="1"/>
  <c r="AP5" i="1" s="1"/>
  <c r="AM5" i="1"/>
  <c r="AL5" i="1"/>
  <c r="AJ5" i="1"/>
  <c r="AI5" i="1"/>
  <c r="AK5" i="1" s="1"/>
  <c r="AH5" i="1"/>
  <c r="AG5" i="1"/>
  <c r="AE5" i="1"/>
  <c r="AD5" i="1"/>
  <c r="AF5" i="1" s="1"/>
  <c r="AC5" i="1"/>
  <c r="AB5" i="1"/>
  <c r="Z5" i="1"/>
  <c r="Y5" i="1"/>
  <c r="AA5" i="1" s="1"/>
  <c r="X5" i="1"/>
  <c r="W5" i="1"/>
  <c r="U5" i="1"/>
  <c r="T5" i="1"/>
  <c r="S5" i="1"/>
  <c r="O4" i="1"/>
  <c r="P4" i="1"/>
  <c r="R4" i="1"/>
  <c r="T4" i="1"/>
  <c r="U4" i="1"/>
  <c r="W4" i="1"/>
  <c r="Y4" i="1"/>
  <c r="Z4" i="1"/>
  <c r="AB4" i="1"/>
  <c r="AD4" i="1"/>
  <c r="AE4" i="1"/>
  <c r="AG4" i="1"/>
  <c r="AI4" i="1"/>
  <c r="AK4" i="1" s="1"/>
  <c r="AJ4" i="1"/>
  <c r="AL4" i="1"/>
  <c r="AN4" i="1"/>
  <c r="AO4" i="1"/>
  <c r="AQ4" i="1"/>
  <c r="AS4" i="1"/>
  <c r="AT4" i="1"/>
  <c r="AV4" i="1"/>
  <c r="AX4" i="1"/>
  <c r="AZ4" i="1" s="1"/>
  <c r="AY4" i="1"/>
  <c r="BA4" i="1"/>
  <c r="BC4" i="1"/>
  <c r="BE4" i="1" s="1"/>
  <c r="BD4" i="1"/>
  <c r="BF4" i="1"/>
  <c r="BH4" i="1"/>
  <c r="BI4" i="1"/>
  <c r="BK4" i="1"/>
  <c r="BK3" i="1"/>
  <c r="BI3" i="1"/>
  <c r="BH3" i="1"/>
  <c r="BF3" i="1"/>
  <c r="BD3" i="1"/>
  <c r="BC3" i="1"/>
  <c r="BA3" i="1"/>
  <c r="AY3" i="1"/>
  <c r="AX3" i="1"/>
  <c r="AV3" i="1"/>
  <c r="AT3" i="1"/>
  <c r="AS3" i="1"/>
  <c r="AQ3" i="1"/>
  <c r="AO3" i="1"/>
  <c r="AN3" i="1"/>
  <c r="AL3" i="1"/>
  <c r="AJ3" i="1"/>
  <c r="AI3" i="1"/>
  <c r="AG3" i="1"/>
  <c r="AE3" i="1"/>
  <c r="AD3" i="1"/>
  <c r="AB3" i="1"/>
  <c r="Z3" i="1"/>
  <c r="Y3" i="1"/>
  <c r="N10" i="14" s="1"/>
  <c r="P10" i="14" s="1"/>
  <c r="W3" i="1"/>
  <c r="U3" i="1"/>
  <c r="T3" i="1"/>
  <c r="R3" i="1"/>
  <c r="P3" i="1"/>
  <c r="O3" i="1"/>
  <c r="N8" i="14" s="1"/>
  <c r="P8" i="14" s="1"/>
  <c r="M3" i="1"/>
  <c r="K3" i="1"/>
  <c r="M18" i="14" s="1"/>
  <c r="J3" i="1"/>
  <c r="N18" i="14" s="1"/>
  <c r="P18" i="14" s="1"/>
  <c r="G4" i="1"/>
  <c r="G5" i="1"/>
  <c r="G6" i="1"/>
  <c r="G7" i="1"/>
  <c r="G8" i="1"/>
  <c r="G9" i="1"/>
  <c r="G10" i="1"/>
  <c r="G11" i="1"/>
  <c r="G12" i="1"/>
  <c r="G13" i="1"/>
  <c r="G14" i="1"/>
  <c r="O3" i="75" l="1"/>
  <c r="T3" i="65"/>
  <c r="O9" i="50"/>
  <c r="AK6" i="1"/>
  <c r="L10" i="50"/>
  <c r="D6" i="29"/>
  <c r="W7" i="38" s="1"/>
  <c r="Q18" i="50"/>
  <c r="K10" i="50"/>
  <c r="K19" i="50" s="1"/>
  <c r="O12" i="50"/>
  <c r="M19" i="50"/>
  <c r="Q16" i="50"/>
  <c r="J7" i="50"/>
  <c r="J19" i="50" s="1"/>
  <c r="L7" i="50"/>
  <c r="L19" i="50" s="1"/>
  <c r="N13" i="14"/>
  <c r="P13" i="14" s="1"/>
  <c r="Q4" i="1"/>
  <c r="M8" i="14"/>
  <c r="O8" i="14" s="1"/>
  <c r="Q11" i="50"/>
  <c r="Q13" i="50"/>
  <c r="O10" i="50"/>
  <c r="N19" i="50"/>
  <c r="V5" i="1"/>
  <c r="Q8" i="50"/>
  <c r="Q15" i="50"/>
  <c r="Q17" i="50"/>
  <c r="Q9" i="50"/>
  <c r="O18" i="14"/>
  <c r="O9" i="14"/>
  <c r="AZ3" i="1"/>
  <c r="M7" i="14"/>
  <c r="N17" i="14"/>
  <c r="P17" i="14" s="1"/>
  <c r="N15" i="14"/>
  <c r="P15" i="14" s="1"/>
  <c r="AP4" i="1"/>
  <c r="V4" i="1"/>
  <c r="AU4" i="1"/>
  <c r="AA4" i="1"/>
  <c r="BJ4" i="1"/>
  <c r="AF4" i="1"/>
  <c r="N7" i="14"/>
  <c r="P7" i="14" s="1"/>
  <c r="M10" i="14"/>
  <c r="O10" i="14" s="1"/>
  <c r="N12" i="14"/>
  <c r="P12" i="14" s="1"/>
  <c r="M13" i="14"/>
  <c r="O13" i="14" s="1"/>
  <c r="BJ3" i="1"/>
  <c r="AK3" i="1"/>
  <c r="BE3" i="1"/>
  <c r="AP3" i="1"/>
  <c r="AU3" i="1"/>
  <c r="Q3" i="1"/>
  <c r="AA3" i="1"/>
  <c r="V3" i="1"/>
  <c r="AF3" i="1"/>
  <c r="N16" i="14"/>
  <c r="P16" i="14" s="1"/>
  <c r="N11" i="14"/>
  <c r="P11" i="14" s="1"/>
  <c r="M17" i="14"/>
  <c r="M12" i="14"/>
  <c r="M16" i="14"/>
  <c r="O16" i="14" s="1"/>
  <c r="M11" i="14"/>
  <c r="O11" i="14" s="1"/>
  <c r="M14" i="14"/>
  <c r="N14" i="14"/>
  <c r="P14" i="14" s="1"/>
  <c r="M15" i="14"/>
  <c r="L3" i="1"/>
  <c r="Q10" i="50" l="1"/>
  <c r="Q7" i="50"/>
  <c r="O17" i="14"/>
  <c r="O12" i="14"/>
  <c r="O15" i="14"/>
  <c r="O14" i="14"/>
  <c r="O7" i="14"/>
  <c r="BG4" i="1"/>
  <c r="BB4" i="1"/>
  <c r="AW4" i="1"/>
  <c r="AR4" i="1"/>
  <c r="AM4" i="1"/>
  <c r="AH4" i="1"/>
  <c r="AC4" i="1"/>
  <c r="X4" i="1"/>
  <c r="S4" i="1"/>
  <c r="N4" i="1"/>
  <c r="BG3" i="1" l="1"/>
  <c r="BB3" i="1"/>
  <c r="AW3" i="1"/>
  <c r="AR3" i="1"/>
  <c r="AM3" i="1"/>
  <c r="AH3" i="1"/>
  <c r="AC3" i="1"/>
  <c r="X3" i="1"/>
  <c r="BE14" i="1"/>
  <c r="AZ14" i="1"/>
  <c r="AZ13" i="1"/>
  <c r="AU13" i="1"/>
  <c r="AU14" i="1"/>
  <c r="AU12" i="1"/>
  <c r="AP12" i="1"/>
  <c r="AP13" i="1"/>
  <c r="AP14" i="1"/>
  <c r="AP11" i="1"/>
  <c r="AK11" i="1"/>
  <c r="AK12" i="1"/>
  <c r="AK13" i="1"/>
  <c r="AK14" i="1"/>
  <c r="AK10" i="1"/>
  <c r="AF10" i="1"/>
  <c r="AF11" i="1"/>
  <c r="AF12" i="1"/>
  <c r="AF13" i="1"/>
  <c r="AF14" i="1"/>
  <c r="AF9" i="1"/>
  <c r="AA9" i="1"/>
  <c r="AA10" i="1"/>
  <c r="AA11" i="1"/>
  <c r="AA12" i="1"/>
  <c r="AA13" i="1"/>
  <c r="AA14" i="1"/>
  <c r="AA8" i="1"/>
  <c r="V8" i="1"/>
  <c r="V9" i="1"/>
  <c r="V10" i="1"/>
  <c r="V11" i="1"/>
  <c r="V12" i="1"/>
  <c r="V13" i="1"/>
  <c r="V14" i="1"/>
  <c r="V7" i="1"/>
  <c r="J7" i="14" s="1"/>
  <c r="Q7" i="1"/>
  <c r="Q8" i="1"/>
  <c r="Q9" i="1"/>
  <c r="Q10" i="1"/>
  <c r="Q11" i="1"/>
  <c r="Q12" i="1"/>
  <c r="Q13" i="1"/>
  <c r="Q14" i="1"/>
  <c r="Q6" i="1"/>
  <c r="L6" i="1"/>
  <c r="L7" i="1"/>
  <c r="L8" i="1"/>
  <c r="L9" i="1"/>
  <c r="L10" i="1"/>
  <c r="L11" i="1"/>
  <c r="L12" i="1"/>
  <c r="L13" i="1"/>
  <c r="L14" i="1"/>
  <c r="L5" i="1"/>
  <c r="K10" i="14" l="1"/>
  <c r="J10" i="14"/>
  <c r="J17" i="14"/>
  <c r="J11" i="14"/>
  <c r="J9" i="14"/>
  <c r="K9" i="14"/>
  <c r="L9" i="14"/>
  <c r="Q10" i="14" l="1"/>
  <c r="Q9" i="14"/>
  <c r="J12" i="14"/>
  <c r="K12" i="14"/>
  <c r="L12" i="14"/>
  <c r="L17" i="14"/>
  <c r="K17" i="14"/>
  <c r="Q17" i="14" s="1"/>
  <c r="L16" i="14"/>
  <c r="J16" i="14"/>
  <c r="K16" i="14"/>
  <c r="L10" i="14"/>
  <c r="K15" i="14"/>
  <c r="L15" i="14"/>
  <c r="J15" i="14"/>
  <c r="J13" i="14"/>
  <c r="K13" i="14"/>
  <c r="L13" i="14"/>
  <c r="L14" i="14"/>
  <c r="J14" i="14"/>
  <c r="K14" i="14"/>
  <c r="L11" i="14"/>
  <c r="K11" i="14"/>
  <c r="Q11" i="14" s="1"/>
  <c r="Q12" i="14" l="1"/>
  <c r="Q14" i="14"/>
  <c r="Q13" i="14"/>
  <c r="Q15" i="14"/>
  <c r="Q16" i="14"/>
  <c r="S3" i="1"/>
  <c r="N3" i="1"/>
  <c r="I3" i="1"/>
  <c r="L7" i="14" l="1"/>
  <c r="K7" i="14"/>
  <c r="Q7" i="14" s="1"/>
  <c r="L8" i="14"/>
  <c r="J8" i="14"/>
  <c r="K8" i="14"/>
  <c r="L18" i="14"/>
  <c r="J18" i="14"/>
  <c r="K18" i="14"/>
  <c r="I111" i="47"/>
  <c r="H111" i="47"/>
  <c r="G111" i="47"/>
  <c r="F111" i="47"/>
  <c r="E111" i="47"/>
  <c r="D111" i="47"/>
  <c r="I83" i="47"/>
  <c r="H83" i="47"/>
  <c r="G83" i="47"/>
  <c r="F83" i="47"/>
  <c r="E83" i="47"/>
  <c r="D83" i="47"/>
  <c r="I55" i="47"/>
  <c r="H55" i="47"/>
  <c r="G55" i="47"/>
  <c r="F55" i="47"/>
  <c r="E55" i="47"/>
  <c r="D55" i="47"/>
  <c r="I27" i="47"/>
  <c r="H27" i="47"/>
  <c r="G27" i="47"/>
  <c r="F27" i="47"/>
  <c r="E27" i="47"/>
  <c r="D27" i="47"/>
  <c r="AH11" i="47"/>
  <c r="F4" i="46"/>
  <c r="E4" i="46"/>
  <c r="P33" i="17"/>
  <c r="Q33" i="17"/>
  <c r="R33" i="17"/>
  <c r="P34" i="17"/>
  <c r="Q34" i="17"/>
  <c r="R34" i="17"/>
  <c r="P35" i="17"/>
  <c r="Q35" i="17"/>
  <c r="R35" i="17"/>
  <c r="P36" i="17"/>
  <c r="Q36" i="17"/>
  <c r="R36" i="17"/>
  <c r="P37" i="17"/>
  <c r="Q37" i="17"/>
  <c r="R37" i="17"/>
  <c r="P38" i="17"/>
  <c r="Q38" i="17"/>
  <c r="R38" i="17"/>
  <c r="P39" i="17"/>
  <c r="Q39" i="17"/>
  <c r="R39" i="17"/>
  <c r="P40" i="17"/>
  <c r="Q40" i="17"/>
  <c r="R40" i="17"/>
  <c r="P41" i="17"/>
  <c r="Q41" i="17"/>
  <c r="R41" i="17"/>
  <c r="P42" i="17"/>
  <c r="Q42" i="17"/>
  <c r="R42" i="17"/>
  <c r="P43" i="17"/>
  <c r="Q43" i="17"/>
  <c r="R43" i="17"/>
  <c r="P44" i="17"/>
  <c r="Q44" i="17"/>
  <c r="R44" i="17"/>
  <c r="P45" i="17"/>
  <c r="Q45" i="17"/>
  <c r="R45" i="17"/>
  <c r="P46" i="17"/>
  <c r="Q46" i="17"/>
  <c r="R46" i="17"/>
  <c r="P47" i="17"/>
  <c r="Q47" i="17"/>
  <c r="R47" i="17"/>
  <c r="P48" i="17"/>
  <c r="Q48" i="17"/>
  <c r="R48" i="17"/>
  <c r="P49" i="17"/>
  <c r="Q49" i="17"/>
  <c r="R49" i="17"/>
  <c r="P50" i="17"/>
  <c r="Q50" i="17"/>
  <c r="R50" i="17"/>
  <c r="P51" i="17"/>
  <c r="Q51" i="17"/>
  <c r="R51" i="17"/>
  <c r="P52" i="17"/>
  <c r="Q52" i="17"/>
  <c r="R52" i="17"/>
  <c r="P53" i="17"/>
  <c r="Q53" i="17"/>
  <c r="R53" i="17"/>
  <c r="G4" i="46" l="1"/>
  <c r="AI11" i="47"/>
  <c r="Q8" i="14"/>
  <c r="Q18" i="14"/>
  <c r="I7" i="37" l="1"/>
  <c r="D5" i="62" s="1"/>
  <c r="E3" i="62" l="1"/>
  <c r="D5" i="29"/>
  <c r="F3" i="38" s="1"/>
  <c r="BG1" i="1" l="1"/>
  <c r="BB1" i="1"/>
  <c r="AW1" i="1"/>
  <c r="AR1" i="1"/>
  <c r="AM1" i="1"/>
  <c r="AH1" i="1"/>
  <c r="AC1" i="1"/>
  <c r="X1" i="1"/>
  <c r="S1" i="1"/>
  <c r="N1" i="1"/>
  <c r="I1" i="1"/>
  <c r="D1" i="1"/>
  <c r="P7" i="17" l="1"/>
  <c r="Q7" i="17"/>
  <c r="R7" i="17"/>
  <c r="P6" i="17"/>
  <c r="Q6" i="17"/>
  <c r="R6" i="17"/>
  <c r="P28" i="17"/>
  <c r="Q28" i="17"/>
  <c r="R28" i="17"/>
  <c r="P20" i="17"/>
  <c r="Q20" i="17"/>
  <c r="R20" i="17"/>
  <c r="P27" i="17"/>
  <c r="Q27" i="17"/>
  <c r="R27" i="17"/>
  <c r="P23" i="17"/>
  <c r="Q23" i="17"/>
  <c r="R23" i="17"/>
  <c r="P10" i="17"/>
  <c r="Q10" i="17"/>
  <c r="R10" i="17"/>
  <c r="P11" i="17"/>
  <c r="Q11" i="17"/>
  <c r="R11" i="17"/>
  <c r="P22" i="17"/>
  <c r="Q22" i="17"/>
  <c r="R22" i="17"/>
  <c r="P17" i="17"/>
  <c r="Q17" i="17"/>
  <c r="R17" i="17"/>
  <c r="P15" i="17"/>
  <c r="Q15" i="17"/>
  <c r="R15" i="17"/>
  <c r="P30" i="17"/>
  <c r="Q30" i="17"/>
  <c r="R30" i="17"/>
  <c r="P24" i="17"/>
  <c r="Q24" i="17"/>
  <c r="R24" i="17"/>
  <c r="P29" i="17"/>
  <c r="Q29" i="17"/>
  <c r="R29" i="17"/>
  <c r="O25" i="37"/>
  <c r="D6" i="75" s="1"/>
  <c r="M28" i="37"/>
  <c r="D7" i="73" s="1"/>
  <c r="K31" i="37"/>
  <c r="D8" i="71" s="1"/>
  <c r="I22" i="37"/>
  <c r="D5" i="69" s="1"/>
  <c r="O10" i="37"/>
  <c r="D6" i="67" s="1"/>
  <c r="M13" i="37"/>
  <c r="D7" i="65" s="1"/>
  <c r="K16" i="37"/>
  <c r="D8" i="63" s="1"/>
  <c r="D7" i="66" l="1"/>
  <c r="O3" i="65"/>
  <c r="J3" i="67"/>
  <c r="D6" i="68"/>
  <c r="F30" i="38" s="1"/>
  <c r="J3" i="75"/>
  <c r="D6" i="76"/>
  <c r="F22" i="38" s="1"/>
  <c r="O3" i="73"/>
  <c r="D7" i="74"/>
  <c r="E3" i="69"/>
  <c r="D5" i="70"/>
  <c r="F11" i="38" s="1"/>
  <c r="D8" i="64"/>
  <c r="T3" i="63"/>
  <c r="D8" i="72"/>
  <c r="T3" i="71"/>
  <c r="J9" i="29"/>
  <c r="I9" i="29"/>
  <c r="H9" i="29"/>
  <c r="G9" i="29"/>
  <c r="F9" i="29"/>
  <c r="E9" i="29"/>
  <c r="L6" i="29"/>
  <c r="K6" i="29"/>
  <c r="L8" i="29"/>
  <c r="K8" i="29"/>
  <c r="L5" i="29"/>
  <c r="K5" i="29"/>
  <c r="L7" i="29"/>
  <c r="K7" i="29"/>
  <c r="P9" i="17" l="1"/>
  <c r="P12" i="17"/>
  <c r="P8" i="17"/>
  <c r="P16" i="17"/>
  <c r="P21" i="17"/>
  <c r="P26" i="17"/>
  <c r="P14" i="17"/>
  <c r="P18" i="17"/>
  <c r="P19" i="17"/>
  <c r="P13" i="17"/>
  <c r="P31" i="17"/>
  <c r="P25" i="17"/>
  <c r="P32" i="17"/>
  <c r="Q9" i="17"/>
  <c r="Q12" i="17"/>
  <c r="Q8" i="17"/>
  <c r="Q16" i="17"/>
  <c r="Q21" i="17"/>
  <c r="Q26" i="17"/>
  <c r="Q14" i="17"/>
  <c r="Q18" i="17"/>
  <c r="Q19" i="17"/>
  <c r="Q13" i="17"/>
  <c r="Q31" i="17"/>
  <c r="Q25" i="17"/>
  <c r="Q32" i="17"/>
  <c r="R9" i="17"/>
  <c r="R12" i="17"/>
  <c r="R8" i="17"/>
  <c r="R16" i="17"/>
  <c r="R21" i="17"/>
  <c r="R26" i="17"/>
  <c r="R14" i="17"/>
  <c r="R18" i="17"/>
  <c r="R19" i="17"/>
  <c r="R13" i="17"/>
  <c r="R31" i="17"/>
  <c r="R25" i="17"/>
  <c r="R32" i="17"/>
  <c r="O54" i="17" l="1"/>
  <c r="N54" i="17"/>
  <c r="M54" i="17"/>
  <c r="L54" i="17"/>
  <c r="K54" i="17"/>
  <c r="J54" i="17"/>
  <c r="N19" i="14" l="1"/>
  <c r="M19" i="14"/>
  <c r="L19" i="14"/>
  <c r="K19" i="14"/>
  <c r="J19" i="14"/>
  <c r="I19" i="14"/>
</calcChain>
</file>

<file path=xl/sharedStrings.xml><?xml version="1.0" encoding="utf-8"?>
<sst xmlns="http://schemas.openxmlformats.org/spreadsheetml/2006/main" count="1419" uniqueCount="348">
  <si>
    <t>1 GRUPO 1</t>
  </si>
  <si>
    <t>2 GRUPO 2</t>
  </si>
  <si>
    <t>1 GRUPO 2</t>
  </si>
  <si>
    <t>2 GRUPO 1</t>
  </si>
  <si>
    <t>2 GRUPO 4</t>
  </si>
  <si>
    <t>1 GRUPO 4</t>
  </si>
  <si>
    <t>1 GRUPO 3</t>
  </si>
  <si>
    <t>2 GRUPO 3</t>
  </si>
  <si>
    <t>CAMPEON</t>
  </si>
  <si>
    <t>1 GRUPO A</t>
  </si>
  <si>
    <t>3 GRUPO B</t>
  </si>
  <si>
    <t>2 GRUPO B</t>
  </si>
  <si>
    <t>1 GRUPO B</t>
  </si>
  <si>
    <t>2 GRUPO A</t>
  </si>
  <si>
    <t>3 GRUPO A</t>
  </si>
  <si>
    <t>5 GRUPO B</t>
  </si>
  <si>
    <t>EQUIPO</t>
  </si>
  <si>
    <t>FIJO</t>
  </si>
  <si>
    <t>TABLA DE POSICIONES GRUPO A</t>
  </si>
  <si>
    <t>P.J</t>
  </si>
  <si>
    <t>P.G</t>
  </si>
  <si>
    <t>P.E</t>
  </si>
  <si>
    <t>P.P</t>
  </si>
  <si>
    <t>G.F</t>
  </si>
  <si>
    <t>G.C</t>
  </si>
  <si>
    <t>G.D</t>
  </si>
  <si>
    <t>PTOS</t>
  </si>
  <si>
    <t>TABLA DE POSICIONES GRUPO B</t>
  </si>
  <si>
    <t>7 GRUPO B</t>
  </si>
  <si>
    <t>4 GRUPO A</t>
  </si>
  <si>
    <t>6 GRUPO B</t>
  </si>
  <si>
    <t>8 GRUPO A</t>
  </si>
  <si>
    <t>7 GRUPO A</t>
  </si>
  <si>
    <t>4 GRUPO B</t>
  </si>
  <si>
    <t>6 GRUPO A</t>
  </si>
  <si>
    <t>8 GRUPO B</t>
  </si>
  <si>
    <t>TABLA DE POSICIONES GENERAL</t>
  </si>
  <si>
    <t>#</t>
  </si>
  <si>
    <t>V.M.V</t>
  </si>
  <si>
    <t>TABLA DE POSICIONES GRUPO C</t>
  </si>
  <si>
    <t>5 GRUPO C</t>
  </si>
  <si>
    <t>TABLA DE POSICIONES GRUPO D</t>
  </si>
  <si>
    <t>1 GRUPO C</t>
  </si>
  <si>
    <t>1 GRUPO D</t>
  </si>
  <si>
    <t>3 GRUPO C</t>
  </si>
  <si>
    <t>3 GRUPO D</t>
  </si>
  <si>
    <t>5 GRUPO D</t>
  </si>
  <si>
    <t>5 GRUPO A</t>
  </si>
  <si>
    <t>7 GRUPO D</t>
  </si>
  <si>
    <t>7 GRUPO C</t>
  </si>
  <si>
    <t>2 GRUPO C</t>
  </si>
  <si>
    <t>2 GRUPO D</t>
  </si>
  <si>
    <t>4 GRUPO C</t>
  </si>
  <si>
    <t>4 GRUPO D</t>
  </si>
  <si>
    <t>6 GRUPO C</t>
  </si>
  <si>
    <t>6 GRUPO D</t>
  </si>
  <si>
    <t>8 GRUPO D</t>
  </si>
  <si>
    <t>8 GRUPO C</t>
  </si>
  <si>
    <t>1 GRUPO 7</t>
  </si>
  <si>
    <t>2 GRUPO 7</t>
  </si>
  <si>
    <t>1 GRUPO 5</t>
  </si>
  <si>
    <t>2 GRUPO 5</t>
  </si>
  <si>
    <t>1 GRUPO 8</t>
  </si>
  <si>
    <t>2 GRUPO 8</t>
  </si>
  <si>
    <t>1 GRUPO 6</t>
  </si>
  <si>
    <t>2 GRUPO 6</t>
  </si>
  <si>
    <t>X</t>
  </si>
  <si>
    <t>FECHA</t>
  </si>
  <si>
    <t>CANCHA</t>
  </si>
  <si>
    <t>MARCADOR</t>
  </si>
  <si>
    <t>AUXILIAR</t>
  </si>
  <si>
    <t>REPRESENTANTE</t>
  </si>
  <si>
    <t xml:space="preserve">CELULAR </t>
  </si>
  <si>
    <t>CELULAR 2</t>
  </si>
  <si>
    <t>E-MAIL</t>
  </si>
  <si>
    <t>REGLAMENTO</t>
  </si>
  <si>
    <t>ENVIADO</t>
  </si>
  <si>
    <t>CEDULA</t>
  </si>
  <si>
    <t>NOMBRE</t>
  </si>
  <si>
    <t>GENERADO</t>
  </si>
  <si>
    <t>PAGADO</t>
  </si>
  <si>
    <t>FECHA PAGO</t>
  </si>
  <si>
    <t>FECHAS</t>
  </si>
  <si>
    <t>EQUIPOS</t>
  </si>
  <si>
    <t>ALUMINIOS FER</t>
  </si>
  <si>
    <t>AMIGOS CHEC</t>
  </si>
  <si>
    <t>AR PLATE FC</t>
  </si>
  <si>
    <t>ARANJUEZ</t>
  </si>
  <si>
    <t>AUTOELECTRICOS ARBOLEDA</t>
  </si>
  <si>
    <t>BAYERN MUNICH</t>
  </si>
  <si>
    <t>BOCAS Y BRACKETS</t>
  </si>
  <si>
    <t>BORUSSIA DORTMUND</t>
  </si>
  <si>
    <t>CAMILO TORRES</t>
  </si>
  <si>
    <t>CHUZOS NELSON</t>
  </si>
  <si>
    <t>COLOMBIANET</t>
  </si>
  <si>
    <t>COLONIA DE PENSILVANIA</t>
  </si>
  <si>
    <t>COMPURED MANIZALES</t>
  </si>
  <si>
    <t>DE FARRA CLUB SOCIAL</t>
  </si>
  <si>
    <t>DUFF FUTBOL CLUB</t>
  </si>
  <si>
    <t>EL MUELLE FC</t>
  </si>
  <si>
    <t>ENEA FC</t>
  </si>
  <si>
    <t>FAMA S.A.S</t>
  </si>
  <si>
    <t>GR CONSTRUCCIONES</t>
  </si>
  <si>
    <t>LA ACADEMIA</t>
  </si>
  <si>
    <t>LOS COCOS</t>
  </si>
  <si>
    <t>LOS DE BULDOS</t>
  </si>
  <si>
    <t>M Y M</t>
  </si>
  <si>
    <t>MACKDIESEL</t>
  </si>
  <si>
    <t>MAGICA FC</t>
  </si>
  <si>
    <t>MALTERIA</t>
  </si>
  <si>
    <t>MECATRONICA</t>
  </si>
  <si>
    <t>4 CANCHAS EN CÉSPED SINTÉTICO</t>
  </si>
  <si>
    <t xml:space="preserve">     PARA FÚTBOL 7 FÚTBOL SALA  </t>
  </si>
  <si>
    <t xml:space="preserve">        Y FÚTBOL DE SALON FIFA</t>
  </si>
  <si>
    <t>RESULTADOS DE LA FECHA ANTERIOR</t>
  </si>
  <si>
    <t>TABLA DE EXPULSADOS</t>
  </si>
  <si>
    <t>TABLA DE GOLEADORES</t>
  </si>
  <si>
    <t>GOLES</t>
  </si>
  <si>
    <t xml:space="preserve"> Zona de clasificación</t>
  </si>
  <si>
    <t>N° CEDULA</t>
  </si>
  <si>
    <t>CUADRANGULAR 1</t>
  </si>
  <si>
    <t>CUADRANGULAR 2</t>
  </si>
  <si>
    <t>CUADRANGULAR 3</t>
  </si>
  <si>
    <t>CUADRANGULAR 4</t>
  </si>
  <si>
    <t>CUADRANGULAR 5</t>
  </si>
  <si>
    <t>CUADRANGULAR 6</t>
  </si>
  <si>
    <t>CUADRANGULAR 7</t>
  </si>
  <si>
    <t>CUADRANGULAR 8</t>
  </si>
  <si>
    <t>DISPONIBILIDAD</t>
  </si>
  <si>
    <t>GRUPO A</t>
  </si>
  <si>
    <t>GRUPO B</t>
  </si>
  <si>
    <t>GRUPO C</t>
  </si>
  <si>
    <t>GRUPO D</t>
  </si>
  <si>
    <t>OSCAR HERNANDEZ</t>
  </si>
  <si>
    <t>ABC JURIDICAS S.A.S ( A )</t>
  </si>
  <si>
    <t>JAVIER</t>
  </si>
  <si>
    <t>ABC JURIDICAS S.A.S ( B )</t>
  </si>
  <si>
    <t>MILTON RAMIREZ</t>
  </si>
  <si>
    <t>RESTAURANTE GRAN CHINA</t>
  </si>
  <si>
    <t>JHONNATAN</t>
  </si>
  <si>
    <t>GERARDO RAMIREZ</t>
  </si>
  <si>
    <t>JOAN DAVID RODAS</t>
  </si>
  <si>
    <t>RECONSTRUCTORA TITO</t>
  </si>
  <si>
    <t>320 886 17 06</t>
  </si>
  <si>
    <t>YESAIDER LOAIZA</t>
  </si>
  <si>
    <t>EL PARCHE</t>
  </si>
  <si>
    <t>321 698 61 36</t>
  </si>
  <si>
    <t>JULIO TORRES</t>
  </si>
  <si>
    <t>DISTRIBUIDORA LA ESQUINA</t>
  </si>
  <si>
    <t>310 888 96 37</t>
  </si>
  <si>
    <t>JORGE MARTINEZ</t>
  </si>
  <si>
    <t>321 727 36 89</t>
  </si>
  <si>
    <t>JHON ALEX</t>
  </si>
  <si>
    <t>LA PESADA</t>
  </si>
  <si>
    <t>312 730 12 43</t>
  </si>
  <si>
    <t>JUAN DAVID RIOS</t>
  </si>
  <si>
    <t>SURTIYA</t>
  </si>
  <si>
    <t>313 522 13 41</t>
  </si>
  <si>
    <t>SANTIAGO FRANCO</t>
  </si>
  <si>
    <t>313 717 83 33</t>
  </si>
  <si>
    <t>OBSERVACIONES</t>
  </si>
  <si>
    <t>DAVID SMITH CHAVEZ</t>
  </si>
  <si>
    <t>BODEGAS COLOMBIA</t>
  </si>
  <si>
    <t>310 370 05 93</t>
  </si>
  <si>
    <t>JESID QUINTERO</t>
  </si>
  <si>
    <t>EMBRAGUES Y CAJAS QUINTERO</t>
  </si>
  <si>
    <t>315 674 77 51</t>
  </si>
  <si>
    <t>JUAN PABLO GARCIA</t>
  </si>
  <si>
    <t>OPTICA SHALOM</t>
  </si>
  <si>
    <t>316 250 34 26</t>
  </si>
  <si>
    <t>DAVID MAURICIO OSORIO</t>
  </si>
  <si>
    <t>ESTAMPADOS SANTI</t>
  </si>
  <si>
    <t>318 510 43 05</t>
  </si>
  <si>
    <t>SALAMINA F.C</t>
  </si>
  <si>
    <t>MARQUESINAS MANIZALES</t>
  </si>
  <si>
    <t>CR INGENIERAS</t>
  </si>
  <si>
    <t>ATLETICO RACING</t>
  </si>
  <si>
    <t>XXXII TORNEO MARCHAGAS  ( B2 )</t>
  </si>
  <si>
    <t>311 626 98 48</t>
  </si>
  <si>
    <t>ALEX RAMIREZ</t>
  </si>
  <si>
    <t>0</t>
  </si>
  <si>
    <t>DOMINGO 17 JULIO 2022</t>
  </si>
  <si>
    <t>NO HUBO EXPULSADOS</t>
  </si>
  <si>
    <t>MILTON ANDRES MORALES RAMIREZ</t>
  </si>
  <si>
    <t>OSCAR ESTEVEN AGUIRRE TORRES</t>
  </si>
  <si>
    <t>ERIK GIOVANNY BARCO OCHOA</t>
  </si>
  <si>
    <t>JOHANNES SEBASTIAN MARIN VILLEGAS</t>
  </si>
  <si>
    <t>HECTOR ADRIAN ALVARAN LOPEZ</t>
  </si>
  <si>
    <t>WILLIAM ANDRES GRANADA RODAS</t>
  </si>
  <si>
    <t>CRISTIAN DAVID PINILLA MURCIA</t>
  </si>
  <si>
    <t>ALEJANDRO DUQUE RODRIGUEZ</t>
  </si>
  <si>
    <t>ROBINSON HARVEY VALENCIA CASTAÑO</t>
  </si>
  <si>
    <t>JORGE IVAN MOSQUERA DUQUE</t>
  </si>
  <si>
    <t>JUAN CAMILO ARROYAVE BOTERO</t>
  </si>
  <si>
    <t>OSCAR ALEXANDER HERNANDEZ</t>
  </si>
  <si>
    <t>HARRISON PALACIO LEON</t>
  </si>
  <si>
    <t>SANTIAGO BOTERO SANCHEZ</t>
  </si>
  <si>
    <t>ANDRES FELIPE OSORIO SANCHEZ</t>
  </si>
  <si>
    <t>DAVID MAURICIO OSORIO GIRALDO</t>
  </si>
  <si>
    <t>DANIEL ALEJANDRO OSUNA VILLA</t>
  </si>
  <si>
    <t>JOHN ALEXANDER GARCIA TORRES</t>
  </si>
  <si>
    <t>CRISTIAN DAVID TABARES</t>
  </si>
  <si>
    <t>JUAN SEBASTIAN GARCIA TORRES</t>
  </si>
  <si>
    <t>WILMAN RODRIGUEZ</t>
  </si>
  <si>
    <t>EL ALTO</t>
  </si>
  <si>
    <t>314 255 27 63</t>
  </si>
  <si>
    <t>LOS PRIMOS</t>
  </si>
  <si>
    <t>SERGIO MUÑOZ</t>
  </si>
  <si>
    <t>FRANCO CANADIENSE</t>
  </si>
  <si>
    <t>311 307 22 21</t>
  </si>
  <si>
    <t>RICARDO GIRALDO</t>
  </si>
  <si>
    <t>314 621 50 69</t>
  </si>
  <si>
    <t>WILMAR ZULUAGA</t>
  </si>
  <si>
    <t>LOS TRONCOS</t>
  </si>
  <si>
    <t>JOSE MUGUEL RESTREPO</t>
  </si>
  <si>
    <t>RADAR TOPOGRAFIA</t>
  </si>
  <si>
    <t>310 431 65 58</t>
  </si>
  <si>
    <t>ARGENTINOS F.C</t>
  </si>
  <si>
    <t>JUAN CARLOS JURADO</t>
  </si>
  <si>
    <t>PLATENSE</t>
  </si>
  <si>
    <t>321 846 64 35</t>
  </si>
  <si>
    <t>EDUARDO OROZCO</t>
  </si>
  <si>
    <t>VILLA CITY</t>
  </si>
  <si>
    <t>SANTIAGO CASTAÑO</t>
  </si>
  <si>
    <t>FREDY SOTO</t>
  </si>
  <si>
    <t>PORTO F.C</t>
  </si>
  <si>
    <t>DIEGO LOPEZ</t>
  </si>
  <si>
    <t>ALCALDIA DE VILLAMARIA</t>
  </si>
  <si>
    <t>JUAN LUIS SIERRA</t>
  </si>
  <si>
    <t>EL EQUIPO MAS GRANDE</t>
  </si>
  <si>
    <t>DOMINGO EN LA NOCHE</t>
  </si>
  <si>
    <t>DOMINGO EN LA TARDE</t>
  </si>
  <si>
    <t>SABADO EN LA NOCHE</t>
  </si>
  <si>
    <t>DOMINGO EN LA MAÑANA</t>
  </si>
  <si>
    <t>RESTAURANTE LUNA CHINA</t>
  </si>
  <si>
    <t>No programar</t>
  </si>
  <si>
    <t>LUIS GRANADOS</t>
  </si>
  <si>
    <t>BILIF MANIZALES (EL CARMEN)</t>
  </si>
  <si>
    <t>VICTOR MANUEL GARCIA</t>
  </si>
  <si>
    <t>LOS BACKYARDIGANS</t>
  </si>
  <si>
    <t>323 364 79 17</t>
  </si>
  <si>
    <t>JORGE ANDRES SIABATO</t>
  </si>
  <si>
    <t>312 279 62 09</t>
  </si>
  <si>
    <t>WESTHAM</t>
  </si>
  <si>
    <t>LUIS ENRIQUE GOMEZ</t>
  </si>
  <si>
    <t>SANTIAGO LOPEZ</t>
  </si>
  <si>
    <t>W</t>
  </si>
  <si>
    <t>Dom, noche</t>
  </si>
  <si>
    <t>ROBINSON BOTERO</t>
  </si>
  <si>
    <t>ANCESTRAL S.J</t>
  </si>
  <si>
    <t>316 856 91 80</t>
  </si>
  <si>
    <t>SABADO 23 Y DOMINGO 24 JULIO 2022</t>
  </si>
  <si>
    <t>BILIF MANIZALES ( EL CARMEN )</t>
  </si>
  <si>
    <t>DANNY QUINTERO OSPINA</t>
  </si>
  <si>
    <t>CAMILO VELANDIA PALACIO</t>
  </si>
  <si>
    <t>JUAN CARLOS ARCILA GARCIA</t>
  </si>
  <si>
    <t>JOSUE CAICEDO</t>
  </si>
  <si>
    <t>CESAR AUGUSTO BETANCOURT POSADA</t>
  </si>
  <si>
    <t>JOSEPH BRAIDHER MEJIA GOMEZ</t>
  </si>
  <si>
    <t>LUIS CARLOS GRANADA GARCIA</t>
  </si>
  <si>
    <t>SEBASTIAN BERMUDEZ OCAMPO</t>
  </si>
  <si>
    <t>JHON JAIRO MARTINEZ OCAMPO</t>
  </si>
  <si>
    <t>JOSE YEISON ARIAS GALLEGO</t>
  </si>
  <si>
    <t>CARLOS CARDONA</t>
  </si>
  <si>
    <t>ELIECER MARIN BETANCUR</t>
  </si>
  <si>
    <t>JOSE HERNAN PATIÑO ZAPATA</t>
  </si>
  <si>
    <t>DEIGAR ANDRES ROA SANCHEZ</t>
  </si>
  <si>
    <t>AUTOGOL</t>
  </si>
  <si>
    <t>CARLOS EDUARDO ERAZO</t>
  </si>
  <si>
    <t>ORLANDO LOAIZA MANIOS</t>
  </si>
  <si>
    <t>HERNAN AUGUSTO SALAZAR MAHECHA</t>
  </si>
  <si>
    <t>JHONATAN ZULUAGA HERNANDEZ</t>
  </si>
  <si>
    <t>ALEXANDER HERNANDEZ</t>
  </si>
  <si>
    <t>MATEO TRUJILLO SERNA</t>
  </si>
  <si>
    <t>ANDRES FELIPE CALLE HERNANDEZ</t>
  </si>
  <si>
    <t>SANTIAGO RIOS CARDONA</t>
  </si>
  <si>
    <t>CARLOS EDUARDO GANZALEZ GOMEZ</t>
  </si>
  <si>
    <t>ELKUN DELGADO SALAZAR</t>
  </si>
  <si>
    <t>BRAYAN STIVEN CORTES GRAJALES</t>
  </si>
  <si>
    <t>JHOJAN STIVEN SOTO BLANDON</t>
  </si>
  <si>
    <t>MATEO ISAZA OROZCO</t>
  </si>
  <si>
    <t>JOHAN ALEJANDRO PATIÑO RODRIGUEZ</t>
  </si>
  <si>
    <t>YESAIDER LOAIZA OSPINA</t>
  </si>
  <si>
    <t>BRAHIAN STIVEN ECHEVERRY QUINTANA</t>
  </si>
  <si>
    <t>JUAN ESTEBAN POLO MEDINA</t>
  </si>
  <si>
    <t>JUAN PABLO GARCIA GAÑAN</t>
  </si>
  <si>
    <t>LEONARDO FABIO ARENAS RAMIREZ</t>
  </si>
  <si>
    <t>DIEGO FERNANDO OSORIO HERRERA</t>
  </si>
  <si>
    <t>DANIEL FELIPE RAMIREZ OSPINA</t>
  </si>
  <si>
    <t>FABIAN QUINTERO</t>
  </si>
  <si>
    <t>DAVID SMITH CHAVEZ CARRILLO</t>
  </si>
  <si>
    <t>JUAN FERNANDO CARDENAS ORTEGON</t>
  </si>
  <si>
    <t>OSCAR JAVIER BERMUDEZ TEHERAN</t>
  </si>
  <si>
    <t>LUIS ALEJANDRO PUERTA GALVEZ</t>
  </si>
  <si>
    <t>DIEGO FERNANDO GUEVARA</t>
  </si>
  <si>
    <t>RB LEIPZIG</t>
  </si>
  <si>
    <t>312 225 64 66</t>
  </si>
  <si>
    <t>EL BOSQUE</t>
  </si>
  <si>
    <t>CAMILO PAVON</t>
  </si>
  <si>
    <t>312 873 52 27</t>
  </si>
  <si>
    <t>Dom, 12 o antes</t>
  </si>
  <si>
    <t>Dom, desp 6</t>
  </si>
  <si>
    <t>Dom, 5-6</t>
  </si>
  <si>
    <t>Dom, desp. 5</t>
  </si>
  <si>
    <t>Dom, 5</t>
  </si>
  <si>
    <t>RESTAURANTE LUNA CHINA - 200 COPAS</t>
  </si>
  <si>
    <t>Sab, 5</t>
  </si>
  <si>
    <t>Dom, 4:30</t>
  </si>
  <si>
    <t>Dom, 7</t>
  </si>
  <si>
    <t>Dom, en la tarde</t>
  </si>
  <si>
    <t>INTER CLUB</t>
  </si>
  <si>
    <t>Dom, en la mañana</t>
  </si>
  <si>
    <t>SERGIO POSADA</t>
  </si>
  <si>
    <t>CUCOS F.C</t>
  </si>
  <si>
    <t>eduardoorozcolop@gmail.com</t>
  </si>
  <si>
    <t>wilmanrodriguez2021@yahoo.com</t>
  </si>
  <si>
    <t>jr224843@gmail.com</t>
  </si>
  <si>
    <t>alex11caldas@gmail.com</t>
  </si>
  <si>
    <t>jpgar562@gmail.com</t>
  </si>
  <si>
    <t>davidsmith86@gmail.com</t>
  </si>
  <si>
    <t>suarez1979nelson@gmail.com</t>
  </si>
  <si>
    <t>juansierrac927@gmail.com</t>
  </si>
  <si>
    <t>joanrodas2013@gmail.com</t>
  </si>
  <si>
    <t>96.yesa.15@gmail.com</t>
  </si>
  <si>
    <t>jhonnatan15manios@gmail.com</t>
  </si>
  <si>
    <t>321 661 3986</t>
  </si>
  <si>
    <t>lg9671115@gmail.com</t>
  </si>
  <si>
    <t>yesoquintero@hotmail.com</t>
  </si>
  <si>
    <t>juanju9069@gmail.com</t>
  </si>
  <si>
    <t>juliotr2008@gmail.com</t>
  </si>
  <si>
    <t>dfguevara@unitecnica.net</t>
  </si>
  <si>
    <t>giraldorichy36@gmail.com</t>
  </si>
  <si>
    <t>miltoncorrea05@hotmail.com</t>
  </si>
  <si>
    <t>robin0228@gmail.com</t>
  </si>
  <si>
    <t>319 416 69 01</t>
  </si>
  <si>
    <t>fredysoto591@gmail.com</t>
  </si>
  <si>
    <t>maurogiraldo10@gmail.com</t>
  </si>
  <si>
    <t>oscaralexanderhernandezmontoya@gmail.com</t>
  </si>
  <si>
    <t>joserestrepo978@gmail.com</t>
  </si>
  <si>
    <t>vimaga1912@gmail.com</t>
  </si>
  <si>
    <t>gerardoramirezconstrucciones@gmail.com</t>
  </si>
  <si>
    <t>luisalbertogranados07@gmail.com</t>
  </si>
  <si>
    <t>sergioms_07@hotmail.com</t>
  </si>
  <si>
    <t>wilmarzg4@gmail.com</t>
  </si>
  <si>
    <r>
      <t xml:space="preserve">TORNEO MARCHAGAS ( B2 ) </t>
    </r>
    <r>
      <rPr>
        <b/>
        <sz val="16"/>
        <color rgb="FFFF0000"/>
        <rFont val="Calibri"/>
        <family val="2"/>
        <scheme val="minor"/>
      </rPr>
      <t>( DOMINGO 31 JULIO 2022 )</t>
    </r>
  </si>
  <si>
    <t>javiermarinbeta@gmail.com</t>
  </si>
  <si>
    <t>frandu11@hotmail.com</t>
  </si>
  <si>
    <t>jandressiabato@gmail.com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</si>
</sst>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5"/>
      <color rgb="FF0070C0"/>
      <name val="Calibri"/>
      <family val="2"/>
      <scheme val="minor"/>
    </font>
    <font>
      <sz val="18"/>
      <color rgb="FF0070C0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sz val="24"/>
      <color theme="3"/>
      <name val="Cambria"/>
      <family val="2"/>
      <scheme val="major"/>
    </font>
    <font>
      <sz val="2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9" fontId="2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</cellStyleXfs>
  <cellXfs count="337">
    <xf numFmtId="0" fontId="0" fillId="0" borderId="0" xfId="0"/>
    <xf numFmtId="0" fontId="0" fillId="0" borderId="0" xfId="0" applyFill="1"/>
    <xf numFmtId="0" fontId="3" fillId="0" borderId="19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" fillId="0" borderId="19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 applyFont="1" applyBorder="1"/>
    <xf numFmtId="0" fontId="1" fillId="0" borderId="0" xfId="0" applyFont="1" applyBorder="1"/>
    <xf numFmtId="0" fontId="0" fillId="0" borderId="0" xfId="0" applyFont="1" applyBorder="1" applyAlignment="1">
      <alignment horizontal="center"/>
    </xf>
    <xf numFmtId="16" fontId="0" fillId="0" borderId="1" xfId="0" applyNumberFormat="1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1" fontId="0" fillId="0" borderId="1" xfId="0" applyNumberFormat="1" applyFont="1" applyFill="1" applyBorder="1" applyAlignment="1">
      <alignment horizontal="center"/>
    </xf>
    <xf numFmtId="1" fontId="0" fillId="0" borderId="0" xfId="0" applyNumberFormat="1" applyFont="1" applyAlignment="1">
      <alignment horizontal="center"/>
    </xf>
    <xf numFmtId="1" fontId="0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/>
    </xf>
    <xf numFmtId="16" fontId="0" fillId="0" borderId="1" xfId="0" applyNumberFormat="1" applyFont="1" applyBorder="1" applyAlignment="1">
      <alignment horizontal="center"/>
    </xf>
    <xf numFmtId="16" fontId="0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15" fontId="1" fillId="0" borderId="1" xfId="0" applyNumberFormat="1" applyFont="1" applyFill="1" applyBorder="1" applyAlignment="1">
      <alignment horizontal="center"/>
    </xf>
    <xf numFmtId="0" fontId="1" fillId="0" borderId="32" xfId="0" applyFont="1" applyFill="1" applyBorder="1"/>
    <xf numFmtId="0" fontId="1" fillId="0" borderId="32" xfId="0" applyFont="1" applyFill="1" applyBorder="1" applyAlignment="1">
      <alignment horizontal="center"/>
    </xf>
    <xf numFmtId="15" fontId="1" fillId="0" borderId="32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4" fillId="9" borderId="0" xfId="0" applyFont="1" applyFill="1"/>
    <xf numFmtId="0" fontId="14" fillId="9" borderId="0" xfId="0" applyFont="1" applyFill="1" applyAlignment="1">
      <alignment horizontal="center"/>
    </xf>
    <xf numFmtId="0" fontId="15" fillId="9" borderId="0" xfId="0" applyFont="1" applyFill="1" applyAlignment="1">
      <alignment vertical="center"/>
    </xf>
    <xf numFmtId="0" fontId="14" fillId="9" borderId="38" xfId="0" applyFont="1" applyFill="1" applyBorder="1"/>
    <xf numFmtId="0" fontId="17" fillId="9" borderId="38" xfId="0" applyFont="1" applyFill="1" applyBorder="1"/>
    <xf numFmtId="0" fontId="17" fillId="9" borderId="0" xfId="0" applyFont="1" applyFill="1"/>
    <xf numFmtId="0" fontId="16" fillId="10" borderId="39" xfId="0" applyFont="1" applyFill="1" applyBorder="1" applyAlignment="1">
      <alignment horizontal="center" vertical="center"/>
    </xf>
    <xf numFmtId="0" fontId="16" fillId="10" borderId="42" xfId="0" applyFont="1" applyFill="1" applyBorder="1" applyAlignment="1">
      <alignment horizontal="center" vertical="center"/>
    </xf>
    <xf numFmtId="0" fontId="16" fillId="10" borderId="41" xfId="0" applyFont="1" applyFill="1" applyBorder="1" applyAlignment="1">
      <alignment horizontal="center" vertical="center"/>
    </xf>
    <xf numFmtId="0" fontId="16" fillId="10" borderId="40" xfId="0" applyFont="1" applyFill="1" applyBorder="1" applyAlignment="1">
      <alignment horizontal="center" vertical="center"/>
    </xf>
    <xf numFmtId="0" fontId="18" fillId="10" borderId="35" xfId="0" applyFont="1" applyFill="1" applyBorder="1" applyAlignment="1">
      <alignment horizontal="center" vertical="center"/>
    </xf>
    <xf numFmtId="0" fontId="16" fillId="10" borderId="43" xfId="0" applyFont="1" applyFill="1" applyBorder="1" applyAlignment="1">
      <alignment horizontal="center" vertical="center"/>
    </xf>
    <xf numFmtId="0" fontId="14" fillId="9" borderId="44" xfId="0" applyFont="1" applyFill="1" applyBorder="1"/>
    <xf numFmtId="0" fontId="17" fillId="4" borderId="39" xfId="0" applyFont="1" applyFill="1" applyBorder="1" applyAlignment="1">
      <alignment horizontal="center" vertical="center"/>
    </xf>
    <xf numFmtId="0" fontId="19" fillId="9" borderId="39" xfId="0" applyFont="1" applyFill="1" applyBorder="1" applyAlignment="1">
      <alignment horizontal="left" vertical="center" wrapText="1"/>
    </xf>
    <xf numFmtId="0" fontId="17" fillId="9" borderId="39" xfId="0" applyFont="1" applyFill="1" applyBorder="1" applyAlignment="1">
      <alignment horizontal="center" vertical="center"/>
    </xf>
    <xf numFmtId="0" fontId="17" fillId="9" borderId="42" xfId="0" applyFont="1" applyFill="1" applyBorder="1" applyAlignment="1">
      <alignment horizontal="center" vertical="center"/>
    </xf>
    <xf numFmtId="0" fontId="17" fillId="9" borderId="41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1" fontId="17" fillId="9" borderId="0" xfId="0" applyNumberFormat="1" applyFont="1" applyFill="1" applyAlignment="1">
      <alignment horizontal="center"/>
    </xf>
    <xf numFmtId="0" fontId="16" fillId="10" borderId="48" xfId="0" applyFont="1" applyFill="1" applyBorder="1" applyAlignment="1">
      <alignment horizontal="center" vertical="center"/>
    </xf>
    <xf numFmtId="0" fontId="16" fillId="10" borderId="38" xfId="0" applyFont="1" applyFill="1" applyBorder="1" applyAlignment="1">
      <alignment horizontal="center" vertical="center"/>
    </xf>
    <xf numFmtId="0" fontId="20" fillId="10" borderId="49" xfId="0" applyFont="1" applyFill="1" applyBorder="1" applyAlignment="1">
      <alignment horizontal="center" vertical="center"/>
    </xf>
    <xf numFmtId="0" fontId="16" fillId="10" borderId="44" xfId="0" applyFont="1" applyFill="1" applyBorder="1" applyAlignment="1">
      <alignment horizontal="center" vertical="center"/>
    </xf>
    <xf numFmtId="0" fontId="20" fillId="10" borderId="45" xfId="0" applyFont="1" applyFill="1" applyBorder="1" applyAlignment="1">
      <alignment horizontal="center" vertical="center"/>
    </xf>
    <xf numFmtId="3" fontId="14" fillId="11" borderId="1" xfId="0" applyNumberFormat="1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 vertical="center"/>
    </xf>
    <xf numFmtId="0" fontId="17" fillId="4" borderId="42" xfId="0" applyFont="1" applyFill="1" applyBorder="1" applyAlignment="1">
      <alignment horizontal="center" vertical="center"/>
    </xf>
    <xf numFmtId="1" fontId="17" fillId="9" borderId="43" xfId="0" applyNumberFormat="1" applyFont="1" applyFill="1" applyBorder="1" applyAlignment="1">
      <alignment horizontal="center" vertical="center"/>
    </xf>
    <xf numFmtId="0" fontId="17" fillId="9" borderId="43" xfId="0" applyFont="1" applyFill="1" applyBorder="1" applyAlignment="1">
      <alignment horizontal="center" vertical="center"/>
    </xf>
    <xf numFmtId="0" fontId="19" fillId="9" borderId="43" xfId="0" applyFont="1" applyFill="1" applyBorder="1" applyAlignment="1">
      <alignment vertical="center"/>
    </xf>
    <xf numFmtId="0" fontId="19" fillId="9" borderId="35" xfId="0" applyFont="1" applyFill="1" applyBorder="1" applyAlignment="1">
      <alignment horizontal="left" vertical="center"/>
    </xf>
    <xf numFmtId="0" fontId="19" fillId="9" borderId="37" xfId="0" applyFont="1" applyFill="1" applyBorder="1" applyAlignment="1">
      <alignment vertical="center"/>
    </xf>
    <xf numFmtId="0" fontId="17" fillId="9" borderId="35" xfId="0" applyFont="1" applyFill="1" applyBorder="1" applyAlignment="1">
      <alignment horizontal="center" vertical="center"/>
    </xf>
    <xf numFmtId="0" fontId="19" fillId="9" borderId="39" xfId="0" applyFont="1" applyFill="1" applyBorder="1" applyAlignment="1">
      <alignment horizontal="left" vertical="center"/>
    </xf>
    <xf numFmtId="0" fontId="17" fillId="4" borderId="35" xfId="0" applyFont="1" applyFill="1" applyBorder="1" applyAlignment="1">
      <alignment horizontal="center" vertical="center"/>
    </xf>
    <xf numFmtId="0" fontId="19" fillId="9" borderId="43" xfId="0" applyFont="1" applyFill="1" applyBorder="1" applyAlignment="1">
      <alignment horizontal="left" vertical="center"/>
    </xf>
    <xf numFmtId="0" fontId="17" fillId="9" borderId="37" xfId="0" applyFont="1" applyFill="1" applyBorder="1" applyAlignment="1">
      <alignment horizontal="center" vertical="center"/>
    </xf>
    <xf numFmtId="0" fontId="17" fillId="4" borderId="45" xfId="0" applyFont="1" applyFill="1" applyBorder="1" applyAlignment="1">
      <alignment horizontal="center" vertical="center"/>
    </xf>
    <xf numFmtId="0" fontId="19" fillId="9" borderId="45" xfId="0" applyFont="1" applyFill="1" applyBorder="1" applyAlignment="1">
      <alignment horizontal="left" vertical="center"/>
    </xf>
    <xf numFmtId="0" fontId="17" fillId="9" borderId="45" xfId="0" applyFont="1" applyFill="1" applyBorder="1" applyAlignment="1">
      <alignment horizontal="center" vertical="center"/>
    </xf>
    <xf numFmtId="0" fontId="17" fillId="9" borderId="49" xfId="0" applyFont="1" applyFill="1" applyBorder="1" applyAlignment="1">
      <alignment horizontal="center" vertical="center"/>
    </xf>
    <xf numFmtId="0" fontId="17" fillId="9" borderId="47" xfId="0" applyFont="1" applyFill="1" applyBorder="1" applyAlignment="1">
      <alignment horizontal="center" vertical="center"/>
    </xf>
    <xf numFmtId="0" fontId="17" fillId="9" borderId="38" xfId="0" applyFont="1" applyFill="1" applyBorder="1" applyAlignment="1">
      <alignment horizontal="center" vertical="center"/>
    </xf>
    <xf numFmtId="0" fontId="19" fillId="9" borderId="46" xfId="0" applyFont="1" applyFill="1" applyBorder="1" applyAlignment="1">
      <alignment horizontal="left" vertical="center"/>
    </xf>
    <xf numFmtId="0" fontId="14" fillId="4" borderId="0" xfId="0" applyFont="1" applyFill="1"/>
    <xf numFmtId="3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7" fillId="12" borderId="50" xfId="0" applyFont="1" applyFill="1" applyBorder="1" applyAlignment="1">
      <alignment horizontal="center" vertical="center"/>
    </xf>
    <xf numFmtId="0" fontId="0" fillId="13" borderId="51" xfId="0" applyFont="1" applyFill="1" applyBorder="1" applyAlignment="1">
      <alignment horizontal="left" vertical="center" indent="1"/>
    </xf>
    <xf numFmtId="0" fontId="0" fillId="13" borderId="51" xfId="0" applyFont="1" applyFill="1" applyBorder="1" applyAlignment="1">
      <alignment horizontal="left" vertical="center"/>
    </xf>
    <xf numFmtId="3" fontId="7" fillId="12" borderId="50" xfId="0" applyNumberFormat="1" applyFont="1" applyFill="1" applyBorder="1" applyAlignment="1">
      <alignment horizontal="center" vertical="center"/>
    </xf>
    <xf numFmtId="3" fontId="0" fillId="13" borderId="51" xfId="0" applyNumberFormat="1" applyFont="1" applyFill="1" applyBorder="1" applyAlignment="1">
      <alignment horizontal="right" vertical="center"/>
    </xf>
    <xf numFmtId="1" fontId="0" fillId="0" borderId="29" xfId="0" applyNumberFormat="1" applyFont="1" applyBorder="1" applyAlignment="1">
      <alignment horizontal="center"/>
    </xf>
    <xf numFmtId="1" fontId="0" fillId="0" borderId="29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15" fontId="0" fillId="0" borderId="0" xfId="0" applyNumberFormat="1" applyAlignment="1">
      <alignment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29" xfId="0" applyNumberFormat="1" applyFont="1" applyBorder="1" applyAlignment="1">
      <alignment horizontal="center"/>
    </xf>
    <xf numFmtId="0" fontId="0" fillId="0" borderId="0" xfId="0" applyFill="1" applyAlignment="1">
      <alignment horizontal="center"/>
    </xf>
    <xf numFmtId="16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Protection="1"/>
    <xf numFmtId="0" fontId="0" fillId="0" borderId="0" xfId="0" applyFill="1" applyAlignment="1" applyProtection="1">
      <alignment horizontal="center"/>
    </xf>
    <xf numFmtId="2" fontId="0" fillId="0" borderId="0" xfId="0" applyNumberFormat="1" applyFill="1" applyAlignment="1" applyProtection="1">
      <alignment horizontal="center"/>
    </xf>
    <xf numFmtId="0" fontId="3" fillId="2" borderId="2" xfId="0" applyFont="1" applyFill="1" applyBorder="1" applyAlignment="1" applyProtection="1">
      <alignment horizontal="center"/>
    </xf>
    <xf numFmtId="0" fontId="3" fillId="0" borderId="19" xfId="0" applyFont="1" applyFill="1" applyBorder="1" applyAlignment="1" applyProtection="1">
      <alignment horizontal="center"/>
    </xf>
    <xf numFmtId="0" fontId="3" fillId="0" borderId="19" xfId="0" applyFont="1" applyBorder="1" applyAlignment="1" applyProtection="1">
      <alignment horizontal="center" vertical="center" wrapText="1"/>
    </xf>
    <xf numFmtId="1" fontId="3" fillId="0" borderId="19" xfId="0" applyNumberFormat="1" applyFont="1" applyBorder="1" applyAlignment="1" applyProtection="1">
      <alignment horizontal="center" vertical="center" wrapText="1"/>
    </xf>
    <xf numFmtId="1" fontId="3" fillId="0" borderId="19" xfId="0" applyNumberFormat="1" applyFont="1" applyFill="1" applyBorder="1" applyAlignment="1" applyProtection="1">
      <alignment horizontal="center"/>
    </xf>
    <xf numFmtId="2" fontId="3" fillId="0" borderId="19" xfId="0" applyNumberFormat="1" applyFont="1" applyFill="1" applyBorder="1" applyAlignment="1" applyProtection="1">
      <alignment horizontal="center"/>
    </xf>
    <xf numFmtId="0" fontId="3" fillId="2" borderId="4" xfId="0" applyFon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2" fontId="0" fillId="0" borderId="0" xfId="0" applyNumberFormat="1" applyFill="1" applyAlignment="1" applyProtection="1">
      <alignment horizontal="center"/>
      <protection locked="0"/>
    </xf>
    <xf numFmtId="2" fontId="3" fillId="0" borderId="19" xfId="0" applyNumberFormat="1" applyFont="1" applyFill="1" applyBorder="1" applyAlignment="1">
      <alignment horizontal="center"/>
    </xf>
    <xf numFmtId="0" fontId="1" fillId="0" borderId="1" xfId="0" applyFont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0" fontId="0" fillId="9" borderId="20" xfId="0" applyFill="1" applyBorder="1" applyAlignment="1" applyProtection="1">
      <alignment vertical="center"/>
    </xf>
    <xf numFmtId="0" fontId="0" fillId="9" borderId="21" xfId="0" applyFill="1" applyBorder="1" applyAlignment="1" applyProtection="1">
      <alignment vertical="center"/>
    </xf>
    <xf numFmtId="0" fontId="0" fillId="9" borderId="22" xfId="0" applyFill="1" applyBorder="1" applyAlignment="1" applyProtection="1">
      <alignment vertical="center"/>
    </xf>
    <xf numFmtId="0" fontId="0" fillId="9" borderId="23" xfId="0" applyFill="1" applyBorder="1" applyAlignment="1" applyProtection="1">
      <alignment vertical="center"/>
    </xf>
    <xf numFmtId="0" fontId="1" fillId="9" borderId="0" xfId="0" applyFont="1" applyFill="1" applyBorder="1" applyAlignment="1" applyProtection="1">
      <alignment horizontal="center" vertical="center"/>
    </xf>
    <xf numFmtId="0" fontId="0" fillId="9" borderId="24" xfId="0" applyFill="1" applyBorder="1" applyAlignment="1" applyProtection="1">
      <alignment vertical="center"/>
    </xf>
    <xf numFmtId="0" fontId="0" fillId="9" borderId="0" xfId="0" applyFill="1" applyBorder="1" applyAlignment="1" applyProtection="1">
      <alignment horizontal="center" vertical="center"/>
    </xf>
    <xf numFmtId="0" fontId="1" fillId="9" borderId="4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0" fillId="9" borderId="34" xfId="0" applyFill="1" applyBorder="1" applyAlignment="1" applyProtection="1">
      <alignment vertical="center"/>
    </xf>
    <xf numFmtId="0" fontId="0" fillId="9" borderId="33" xfId="0" applyFill="1" applyBorder="1" applyAlignment="1" applyProtection="1">
      <alignment vertical="center"/>
    </xf>
    <xf numFmtId="0" fontId="0" fillId="9" borderId="0" xfId="0" applyFill="1" applyBorder="1" applyAlignment="1" applyProtection="1">
      <alignment vertical="center"/>
    </xf>
    <xf numFmtId="0" fontId="0" fillId="9" borderId="25" xfId="0" applyFill="1" applyBorder="1" applyAlignment="1" applyProtection="1">
      <alignment vertical="center"/>
    </xf>
    <xf numFmtId="0" fontId="0" fillId="9" borderId="26" xfId="0" applyFill="1" applyBorder="1" applyAlignment="1" applyProtection="1">
      <alignment vertical="center"/>
    </xf>
    <xf numFmtId="0" fontId="0" fillId="9" borderId="19" xfId="0" applyFill="1" applyBorder="1" applyAlignment="1" applyProtection="1">
      <alignment vertical="center"/>
    </xf>
    <xf numFmtId="1" fontId="0" fillId="0" borderId="1" xfId="0" applyNumberFormat="1" applyFont="1" applyFill="1" applyBorder="1" applyAlignment="1" applyProtection="1">
      <alignment horizontal="center"/>
    </xf>
    <xf numFmtId="0" fontId="0" fillId="0" borderId="1" xfId="0" applyFont="1" applyBorder="1" applyAlignment="1" applyProtection="1">
      <alignment horizontal="center"/>
    </xf>
    <xf numFmtId="1" fontId="0" fillId="0" borderId="1" xfId="0" applyNumberFormat="1" applyFont="1" applyBorder="1" applyAlignment="1" applyProtection="1">
      <alignment horizontal="center"/>
    </xf>
    <xf numFmtId="16" fontId="0" fillId="0" borderId="1" xfId="0" applyNumberFormat="1" applyFont="1" applyBorder="1" applyAlignment="1" applyProtection="1">
      <alignment horizontal="center"/>
    </xf>
    <xf numFmtId="16" fontId="0" fillId="0" borderId="1" xfId="0" applyNumberFormat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1" xfId="0" applyNumberFormat="1" applyFont="1" applyFill="1" applyBorder="1" applyAlignment="1" applyProtection="1">
      <alignment horizontal="center" vertical="center"/>
    </xf>
    <xf numFmtId="0" fontId="3" fillId="2" borderId="19" xfId="0" applyFont="1" applyFill="1" applyBorder="1" applyAlignment="1" applyProtection="1">
      <alignment horizontal="center"/>
    </xf>
    <xf numFmtId="16" fontId="0" fillId="0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Fill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1" fontId="0" fillId="0" borderId="29" xfId="0" applyNumberFormat="1" applyFont="1" applyBorder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1" fillId="0" borderId="1" xfId="0" applyFont="1" applyBorder="1" applyAlignment="1" applyProtection="1">
      <alignment horizontal="center" vertical="center"/>
    </xf>
    <xf numFmtId="0" fontId="0" fillId="0" borderId="0" xfId="0" applyFont="1" applyAlignment="1" applyProtection="1">
      <alignment horizontal="center"/>
      <protection locked="0"/>
    </xf>
    <xf numFmtId="3" fontId="0" fillId="0" borderId="0" xfId="0" applyNumberFormat="1" applyProtection="1"/>
    <xf numFmtId="9" fontId="0" fillId="0" borderId="0" xfId="2" applyFont="1" applyProtection="1"/>
    <xf numFmtId="0" fontId="13" fillId="0" borderId="0" xfId="0" applyFont="1" applyProtection="1"/>
    <xf numFmtId="15" fontId="13" fillId="0" borderId="0" xfId="0" applyNumberFormat="1" applyFont="1" applyAlignment="1" applyProtection="1">
      <alignment horizontal="center"/>
      <protection locked="0"/>
    </xf>
    <xf numFmtId="3" fontId="13" fillId="0" borderId="0" xfId="0" applyNumberFormat="1" applyFont="1" applyAlignment="1" applyProtection="1">
      <alignment horizontal="center"/>
      <protection locked="0"/>
    </xf>
    <xf numFmtId="3" fontId="13" fillId="0" borderId="0" xfId="0" applyNumberFormat="1" applyFont="1" applyProtection="1">
      <protection locked="0"/>
    </xf>
    <xf numFmtId="15" fontId="13" fillId="0" borderId="0" xfId="0" applyNumberFormat="1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5" fontId="0" fillId="0" borderId="0" xfId="0" applyNumberFormat="1" applyAlignment="1" applyProtection="1">
      <alignment horizontal="center"/>
      <protection locked="0"/>
    </xf>
    <xf numFmtId="3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15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3" fontId="1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0" fontId="0" fillId="9" borderId="6" xfId="0" applyFill="1" applyBorder="1" applyAlignment="1" applyProtection="1">
      <alignment vertical="center"/>
      <protection locked="0"/>
    </xf>
    <xf numFmtId="0" fontId="0" fillId="9" borderId="10" xfId="0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 vertical="center"/>
      <protection locked="0"/>
    </xf>
    <xf numFmtId="0" fontId="0" fillId="9" borderId="9" xfId="0" applyFill="1" applyBorder="1" applyAlignment="1" applyProtection="1">
      <alignment horizontal="center" vertical="center"/>
      <protection locked="0"/>
    </xf>
    <xf numFmtId="0" fontId="0" fillId="9" borderId="7" xfId="0" applyFill="1" applyBorder="1" applyAlignment="1" applyProtection="1">
      <alignment vertical="center"/>
      <protection locked="0"/>
    </xf>
    <xf numFmtId="0" fontId="0" fillId="9" borderId="8" xfId="0" applyFill="1" applyBorder="1" applyAlignment="1" applyProtection="1">
      <alignment horizontal="center" vertical="center"/>
      <protection locked="0"/>
    </xf>
    <xf numFmtId="0" fontId="0" fillId="9" borderId="14" xfId="0" applyFill="1" applyBorder="1" applyAlignment="1" applyProtection="1">
      <alignment horizontal="center" vertical="center"/>
      <protection locked="0"/>
    </xf>
    <xf numFmtId="0" fontId="2" fillId="9" borderId="0" xfId="0" applyFont="1" applyFill="1" applyBorder="1" applyAlignment="1" applyProtection="1">
      <alignment vertical="center"/>
      <protection locked="0"/>
    </xf>
    <xf numFmtId="0" fontId="0" fillId="9" borderId="13" xfId="0" applyFill="1" applyBorder="1" applyAlignment="1" applyProtection="1">
      <alignment vertical="center"/>
      <protection locked="0"/>
    </xf>
    <xf numFmtId="0" fontId="0" fillId="9" borderId="14" xfId="0" applyFill="1" applyBorder="1" applyAlignment="1" applyProtection="1">
      <alignment vertical="center"/>
      <protection locked="0"/>
    </xf>
    <xf numFmtId="0" fontId="0" fillId="9" borderId="16" xfId="0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vertical="center"/>
      <protection locked="0"/>
    </xf>
    <xf numFmtId="0" fontId="0" fillId="9" borderId="17" xfId="0" applyFill="1" applyBorder="1" applyAlignment="1" applyProtection="1">
      <alignment horizontal="center" vertical="center"/>
      <protection locked="0"/>
    </xf>
    <xf numFmtId="0" fontId="0" fillId="9" borderId="8" xfId="0" applyFill="1" applyBorder="1" applyAlignment="1" applyProtection="1">
      <alignment vertical="center"/>
      <protection locked="0"/>
    </xf>
    <xf numFmtId="0" fontId="0" fillId="9" borderId="15" xfId="0" applyFill="1" applyBorder="1" applyAlignment="1" applyProtection="1">
      <alignment vertical="center"/>
      <protection locked="0"/>
    </xf>
    <xf numFmtId="0" fontId="0" fillId="9" borderId="10" xfId="0" applyFill="1" applyBorder="1" applyAlignment="1" applyProtection="1">
      <alignment vertical="center"/>
      <protection locked="0"/>
    </xf>
    <xf numFmtId="0" fontId="0" fillId="9" borderId="27" xfId="0" applyFill="1" applyBorder="1" applyAlignment="1" applyProtection="1">
      <alignment horizontal="center" vertical="center"/>
      <protection locked="0"/>
    </xf>
    <xf numFmtId="0" fontId="0" fillId="9" borderId="27" xfId="0" applyFill="1" applyBorder="1" applyAlignment="1" applyProtection="1">
      <alignment vertical="center"/>
      <protection locked="0"/>
    </xf>
    <xf numFmtId="0" fontId="0" fillId="9" borderId="9" xfId="0" applyFill="1" applyBorder="1" applyAlignment="1" applyProtection="1">
      <alignment vertical="center"/>
      <protection locked="0"/>
    </xf>
    <xf numFmtId="0" fontId="1" fillId="2" borderId="5" xfId="0" applyFont="1" applyFill="1" applyBorder="1" applyAlignment="1" applyProtection="1">
      <alignment horizontal="center" vertical="center"/>
    </xf>
    <xf numFmtId="0" fontId="0" fillId="9" borderId="4" xfId="0" applyFill="1" applyBorder="1" applyAlignment="1" applyProtection="1">
      <alignment horizontal="center" vertical="center"/>
    </xf>
    <xf numFmtId="0" fontId="4" fillId="9" borderId="4" xfId="0" applyFont="1" applyFill="1" applyBorder="1" applyAlignment="1" applyProtection="1">
      <alignment horizontal="center" vertical="center"/>
    </xf>
    <xf numFmtId="0" fontId="24" fillId="2" borderId="2" xfId="3" applyFill="1" applyBorder="1" applyAlignment="1" applyProtection="1">
      <alignment horizontal="center"/>
    </xf>
    <xf numFmtId="0" fontId="24" fillId="2" borderId="52" xfId="3" applyFill="1" applyBorder="1" applyAlignment="1" applyProtection="1">
      <alignment horizontal="center"/>
    </xf>
    <xf numFmtId="2" fontId="24" fillId="2" borderId="52" xfId="3" applyNumberFormat="1" applyFill="1" applyBorder="1" applyAlignment="1" applyProtection="1">
      <alignment horizontal="center"/>
    </xf>
    <xf numFmtId="0" fontId="24" fillId="2" borderId="4" xfId="3" applyFill="1" applyBorder="1" applyAlignment="1" applyProtection="1">
      <alignment horizontal="center"/>
    </xf>
    <xf numFmtId="0" fontId="24" fillId="4" borderId="2" xfId="3" applyFill="1" applyBorder="1" applyAlignment="1" applyProtection="1">
      <alignment horizontal="center"/>
    </xf>
    <xf numFmtId="0" fontId="24" fillId="4" borderId="52" xfId="3" applyFill="1" applyBorder="1" applyAlignment="1" applyProtection="1">
      <alignment horizontal="center"/>
    </xf>
    <xf numFmtId="2" fontId="24" fillId="4" borderId="52" xfId="3" applyNumberFormat="1" applyFill="1" applyBorder="1" applyAlignment="1" applyProtection="1">
      <alignment horizontal="center"/>
    </xf>
    <xf numFmtId="0" fontId="24" fillId="4" borderId="4" xfId="3" applyFill="1" applyBorder="1" applyAlignment="1" applyProtection="1">
      <alignment horizontal="center"/>
    </xf>
    <xf numFmtId="0" fontId="25" fillId="0" borderId="1" xfId="4" applyFill="1" applyBorder="1" applyAlignment="1">
      <alignment horizontal="center" vertical="center"/>
    </xf>
    <xf numFmtId="0" fontId="25" fillId="0" borderId="1" xfId="4" applyFill="1" applyBorder="1" applyAlignment="1">
      <alignment horizontal="center"/>
    </xf>
    <xf numFmtId="0" fontId="25" fillId="0" borderId="1" xfId="4" applyBorder="1" applyAlignment="1">
      <alignment horizontal="center"/>
    </xf>
    <xf numFmtId="0" fontId="24" fillId="5" borderId="2" xfId="3" applyFill="1" applyBorder="1" applyAlignment="1" applyProtection="1">
      <alignment horizontal="center"/>
    </xf>
    <xf numFmtId="0" fontId="24" fillId="5" borderId="52" xfId="3" applyFill="1" applyBorder="1" applyAlignment="1" applyProtection="1">
      <alignment horizontal="center"/>
    </xf>
    <xf numFmtId="2" fontId="24" fillId="5" borderId="52" xfId="3" applyNumberFormat="1" applyFill="1" applyBorder="1" applyAlignment="1" applyProtection="1">
      <alignment horizontal="center"/>
    </xf>
    <xf numFmtId="0" fontId="24" fillId="5" borderId="4" xfId="3" applyFill="1" applyBorder="1" applyAlignment="1" applyProtection="1">
      <alignment horizontal="center"/>
    </xf>
    <xf numFmtId="0" fontId="24" fillId="6" borderId="2" xfId="3" applyFill="1" applyBorder="1" applyAlignment="1" applyProtection="1">
      <alignment horizontal="center"/>
    </xf>
    <xf numFmtId="0" fontId="24" fillId="6" borderId="52" xfId="3" applyFill="1" applyBorder="1" applyAlignment="1" applyProtection="1">
      <alignment horizontal="center"/>
    </xf>
    <xf numFmtId="2" fontId="24" fillId="6" borderId="52" xfId="3" applyNumberFormat="1" applyFill="1" applyBorder="1" applyAlignment="1" applyProtection="1">
      <alignment horizontal="center"/>
    </xf>
    <xf numFmtId="0" fontId="24" fillId="6" borderId="4" xfId="3" applyFill="1" applyBorder="1" applyAlignment="1" applyProtection="1">
      <alignment horizontal="center"/>
    </xf>
    <xf numFmtId="0" fontId="24" fillId="8" borderId="4" xfId="3" applyFill="1" applyBorder="1" applyAlignment="1">
      <alignment horizontal="center"/>
    </xf>
    <xf numFmtId="0" fontId="24" fillId="8" borderId="19" xfId="3" applyFill="1" applyBorder="1" applyAlignment="1">
      <alignment horizontal="center"/>
    </xf>
    <xf numFmtId="0" fontId="24" fillId="8" borderId="2" xfId="3" applyFill="1" applyBorder="1" applyAlignment="1">
      <alignment horizontal="center" vertical="center"/>
    </xf>
    <xf numFmtId="0" fontId="24" fillId="8" borderId="4" xfId="3" applyFill="1" applyBorder="1" applyAlignment="1">
      <alignment horizontal="center" vertical="center"/>
    </xf>
    <xf numFmtId="49" fontId="0" fillId="0" borderId="0" xfId="0" applyNumberFormat="1" applyFont="1" applyBorder="1"/>
    <xf numFmtId="0" fontId="8" fillId="0" borderId="30" xfId="1" applyFill="1" applyBorder="1" applyAlignment="1" applyProtection="1"/>
    <xf numFmtId="0" fontId="8" fillId="0" borderId="53" xfId="1" applyFill="1" applyBorder="1" applyAlignment="1" applyProtection="1"/>
    <xf numFmtId="0" fontId="1" fillId="0" borderId="29" xfId="0" applyFont="1" applyFill="1" applyBorder="1" applyAlignment="1">
      <alignment horizontal="center"/>
    </xf>
    <xf numFmtId="0" fontId="1" fillId="0" borderId="54" xfId="0" applyFont="1" applyFill="1" applyBorder="1" applyAlignment="1">
      <alignment horizontal="center"/>
    </xf>
    <xf numFmtId="49" fontId="7" fillId="3" borderId="55" xfId="0" applyNumberFormat="1" applyFont="1" applyFill="1" applyBorder="1" applyAlignment="1">
      <alignment horizontal="center"/>
    </xf>
    <xf numFmtId="0" fontId="0" fillId="0" borderId="1" xfId="0" applyBorder="1"/>
    <xf numFmtId="0" fontId="1" fillId="2" borderId="32" xfId="0" applyFont="1" applyFill="1" applyBorder="1" applyAlignment="1">
      <alignment horizontal="center"/>
    </xf>
    <xf numFmtId="0" fontId="1" fillId="4" borderId="32" xfId="0" applyFont="1" applyFill="1" applyBorder="1" applyAlignment="1">
      <alignment horizontal="center"/>
    </xf>
    <xf numFmtId="0" fontId="1" fillId="6" borderId="32" xfId="0" applyFont="1" applyFill="1" applyBorder="1" applyAlignment="1">
      <alignment horizontal="center"/>
    </xf>
    <xf numFmtId="0" fontId="1" fillId="5" borderId="3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16" fontId="0" fillId="5" borderId="1" xfId="0" applyNumberFormat="1" applyFill="1" applyBorder="1" applyAlignment="1" applyProtection="1">
      <alignment horizontal="center"/>
      <protection locked="0"/>
    </xf>
    <xf numFmtId="1" fontId="0" fillId="5" borderId="1" xfId="0" applyNumberFormat="1" applyFill="1" applyBorder="1" applyAlignment="1" applyProtection="1">
      <alignment horizontal="center"/>
      <protection locked="0"/>
    </xf>
    <xf numFmtId="1" fontId="0" fillId="5" borderId="1" xfId="0" applyNumberFormat="1" applyFont="1" applyFill="1" applyBorder="1" applyAlignment="1" applyProtection="1">
      <alignment horizontal="center"/>
      <protection locked="0"/>
    </xf>
    <xf numFmtId="16" fontId="0" fillId="5" borderId="1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1" fontId="0" fillId="5" borderId="1" xfId="0" applyNumberFormat="1" applyFont="1" applyFill="1" applyBorder="1" applyAlignment="1">
      <alignment horizontal="center"/>
    </xf>
    <xf numFmtId="16" fontId="0" fillId="5" borderId="1" xfId="0" applyNumberFormat="1" applyFont="1" applyFill="1" applyBorder="1" applyAlignment="1">
      <alignment horizontal="center" vertical="center"/>
    </xf>
    <xf numFmtId="1" fontId="0" fillId="5" borderId="1" xfId="0" applyNumberFormat="1" applyFont="1" applyFill="1" applyBorder="1" applyAlignment="1">
      <alignment horizontal="center" vertical="center"/>
    </xf>
    <xf numFmtId="16" fontId="0" fillId="0" borderId="1" xfId="0" applyNumberFormat="1" applyFill="1" applyBorder="1" applyAlignment="1">
      <alignment horizontal="center" vertical="center"/>
    </xf>
    <xf numFmtId="0" fontId="19" fillId="9" borderId="41" xfId="0" applyFont="1" applyFill="1" applyBorder="1" applyAlignment="1">
      <alignment vertical="center"/>
    </xf>
    <xf numFmtId="0" fontId="25" fillId="6" borderId="1" xfId="4" applyFill="1" applyBorder="1" applyAlignment="1">
      <alignment horizontal="center" vertical="center"/>
    </xf>
    <xf numFmtId="15" fontId="13" fillId="0" borderId="0" xfId="0" applyNumberFormat="1" applyFont="1" applyFill="1" applyAlignment="1" applyProtection="1">
      <alignment horizontal="center"/>
      <protection locked="0"/>
    </xf>
    <xf numFmtId="3" fontId="13" fillId="0" borderId="0" xfId="0" applyNumberFormat="1" applyFont="1" applyFill="1" applyAlignment="1" applyProtection="1">
      <alignment horizontal="center"/>
      <protection locked="0"/>
    </xf>
    <xf numFmtId="0" fontId="13" fillId="0" borderId="0" xfId="0" applyFont="1" applyFill="1" applyProtection="1"/>
    <xf numFmtId="3" fontId="13" fillId="0" borderId="0" xfId="0" applyNumberFormat="1" applyFont="1" applyFill="1" applyProtection="1">
      <protection locked="0"/>
    </xf>
    <xf numFmtId="0" fontId="16" fillId="10" borderId="39" xfId="0" applyFont="1" applyFill="1" applyBorder="1" applyAlignment="1">
      <alignment horizontal="center" vertical="center"/>
    </xf>
    <xf numFmtId="0" fontId="16" fillId="10" borderId="40" xfId="0" applyFont="1" applyFill="1" applyBorder="1" applyAlignment="1">
      <alignment horizontal="center" vertical="center"/>
    </xf>
    <xf numFmtId="0" fontId="16" fillId="10" borderId="41" xfId="0" applyFont="1" applyFill="1" applyBorder="1" applyAlignment="1">
      <alignment horizontal="center" vertical="center"/>
    </xf>
    <xf numFmtId="0" fontId="16" fillId="10" borderId="38" xfId="0" applyFont="1" applyFill="1" applyBorder="1" applyAlignment="1">
      <alignment horizontal="center" vertical="center"/>
    </xf>
    <xf numFmtId="0" fontId="16" fillId="10" borderId="44" xfId="0" applyFont="1" applyFill="1" applyBorder="1" applyAlignment="1">
      <alignment horizontal="center" vertical="center"/>
    </xf>
    <xf numFmtId="0" fontId="25" fillId="5" borderId="1" xfId="4" applyFill="1" applyBorder="1" applyAlignment="1">
      <alignment horizontal="center" vertical="center"/>
    </xf>
    <xf numFmtId="0" fontId="26" fillId="0" borderId="0" xfId="3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0" fillId="7" borderId="1" xfId="0" applyFont="1" applyFill="1" applyBorder="1" applyAlignment="1">
      <alignment horizontal="center" vertical="center"/>
    </xf>
    <xf numFmtId="1" fontId="0" fillId="0" borderId="30" xfId="0" applyNumberFormat="1" applyFont="1" applyBorder="1" applyAlignment="1">
      <alignment horizontal="center"/>
    </xf>
    <xf numFmtId="1" fontId="0" fillId="0" borderId="29" xfId="0" applyNumberFormat="1" applyFont="1" applyBorder="1" applyAlignment="1">
      <alignment horizontal="center"/>
    </xf>
    <xf numFmtId="16" fontId="27" fillId="0" borderId="20" xfId="0" applyNumberFormat="1" applyFont="1" applyBorder="1" applyAlignment="1">
      <alignment horizontal="center" vertical="center"/>
    </xf>
    <xf numFmtId="16" fontId="27" fillId="0" borderId="21" xfId="0" applyNumberFormat="1" applyFont="1" applyBorder="1" applyAlignment="1">
      <alignment horizontal="center" vertical="center"/>
    </xf>
    <xf numFmtId="16" fontId="27" fillId="0" borderId="22" xfId="0" applyNumberFormat="1" applyFont="1" applyBorder="1" applyAlignment="1">
      <alignment horizontal="center" vertical="center"/>
    </xf>
    <xf numFmtId="16" fontId="27" fillId="0" borderId="23" xfId="0" applyNumberFormat="1" applyFont="1" applyBorder="1" applyAlignment="1">
      <alignment horizontal="center" vertical="center"/>
    </xf>
    <xf numFmtId="16" fontId="27" fillId="0" borderId="0" xfId="0" applyNumberFormat="1" applyFont="1" applyBorder="1" applyAlignment="1">
      <alignment horizontal="center" vertical="center"/>
    </xf>
    <xf numFmtId="16" fontId="27" fillId="0" borderId="24" xfId="0" applyNumberFormat="1" applyFont="1" applyBorder="1" applyAlignment="1">
      <alignment horizontal="center" vertical="center"/>
    </xf>
    <xf numFmtId="16" fontId="27" fillId="0" borderId="25" xfId="0" applyNumberFormat="1" applyFont="1" applyBorder="1" applyAlignment="1">
      <alignment horizontal="center" vertical="center"/>
    </xf>
    <xf numFmtId="16" fontId="27" fillId="0" borderId="26" xfId="0" applyNumberFormat="1" applyFont="1" applyBorder="1" applyAlignment="1">
      <alignment horizontal="center" vertical="center"/>
    </xf>
    <xf numFmtId="16" fontId="27" fillId="0" borderId="19" xfId="0" applyNumberFormat="1" applyFont="1" applyBorder="1" applyAlignment="1">
      <alignment horizontal="center" vertical="center"/>
    </xf>
    <xf numFmtId="0" fontId="25" fillId="0" borderId="8" xfId="4" applyBorder="1" applyAlignment="1">
      <alignment horizontal="center" vertical="center"/>
    </xf>
    <xf numFmtId="0" fontId="24" fillId="2" borderId="1" xfId="3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4" fillId="2" borderId="20" xfId="3" applyFill="1" applyBorder="1" applyAlignment="1" applyProtection="1">
      <alignment horizontal="center" vertical="center"/>
    </xf>
    <xf numFmtId="0" fontId="24" fillId="2" borderId="21" xfId="3" applyFill="1" applyBorder="1" applyAlignment="1" applyProtection="1">
      <alignment horizontal="center" vertical="center"/>
    </xf>
    <xf numFmtId="0" fontId="24" fillId="2" borderId="22" xfId="3" applyFill="1" applyBorder="1" applyAlignment="1" applyProtection="1">
      <alignment horizontal="center" vertical="center"/>
    </xf>
    <xf numFmtId="0" fontId="24" fillId="2" borderId="25" xfId="3" applyFill="1" applyBorder="1" applyAlignment="1" applyProtection="1">
      <alignment horizontal="center" vertical="center"/>
    </xf>
    <xf numFmtId="0" fontId="24" fillId="2" borderId="26" xfId="3" applyFill="1" applyBorder="1" applyAlignment="1" applyProtection="1">
      <alignment horizontal="center" vertical="center"/>
    </xf>
    <xf numFmtId="0" fontId="24" fillId="2" borderId="19" xfId="3" applyFill="1" applyBorder="1" applyAlignment="1" applyProtection="1">
      <alignment horizontal="center" vertical="center"/>
    </xf>
    <xf numFmtId="0" fontId="24" fillId="4" borderId="1" xfId="3" applyFill="1" applyBorder="1" applyAlignment="1">
      <alignment horizontal="center" vertical="center"/>
    </xf>
    <xf numFmtId="0" fontId="24" fillId="4" borderId="20" xfId="3" applyFill="1" applyBorder="1" applyAlignment="1" applyProtection="1">
      <alignment horizontal="center" vertical="center"/>
    </xf>
    <xf numFmtId="0" fontId="24" fillId="4" borderId="21" xfId="3" applyFill="1" applyBorder="1" applyAlignment="1" applyProtection="1">
      <alignment horizontal="center" vertical="center"/>
    </xf>
    <xf numFmtId="0" fontId="24" fillId="4" borderId="22" xfId="3" applyFill="1" applyBorder="1" applyAlignment="1" applyProtection="1">
      <alignment horizontal="center" vertical="center"/>
    </xf>
    <xf numFmtId="0" fontId="24" fillId="4" borderId="25" xfId="3" applyFill="1" applyBorder="1" applyAlignment="1" applyProtection="1">
      <alignment horizontal="center" vertical="center"/>
    </xf>
    <xf numFmtId="0" fontId="24" fillId="4" borderId="26" xfId="3" applyFill="1" applyBorder="1" applyAlignment="1" applyProtection="1">
      <alignment horizontal="center" vertical="center"/>
    </xf>
    <xf numFmtId="0" fontId="24" fillId="4" borderId="19" xfId="3" applyFill="1" applyBorder="1" applyAlignment="1" applyProtection="1">
      <alignment horizontal="center" vertical="center"/>
    </xf>
    <xf numFmtId="0" fontId="24" fillId="5" borderId="1" xfId="3" applyFill="1" applyBorder="1" applyAlignment="1">
      <alignment horizontal="center" vertical="center"/>
    </xf>
    <xf numFmtId="0" fontId="24" fillId="5" borderId="20" xfId="3" applyFill="1" applyBorder="1" applyAlignment="1" applyProtection="1">
      <alignment horizontal="center" vertical="center"/>
    </xf>
    <xf numFmtId="0" fontId="24" fillId="5" borderId="21" xfId="3" applyFill="1" applyBorder="1" applyAlignment="1" applyProtection="1">
      <alignment horizontal="center" vertical="center"/>
    </xf>
    <xf numFmtId="0" fontId="24" fillId="5" borderId="22" xfId="3" applyFill="1" applyBorder="1" applyAlignment="1" applyProtection="1">
      <alignment horizontal="center" vertical="center"/>
    </xf>
    <xf numFmtId="0" fontId="24" fillId="5" borderId="25" xfId="3" applyFill="1" applyBorder="1" applyAlignment="1" applyProtection="1">
      <alignment horizontal="center" vertical="center"/>
    </xf>
    <xf numFmtId="0" fontId="24" fillId="5" borderId="26" xfId="3" applyFill="1" applyBorder="1" applyAlignment="1" applyProtection="1">
      <alignment horizontal="center" vertical="center"/>
    </xf>
    <xf numFmtId="0" fontId="24" fillId="5" borderId="19" xfId="3" applyFill="1" applyBorder="1" applyAlignment="1" applyProtection="1">
      <alignment horizontal="center" vertical="center"/>
    </xf>
    <xf numFmtId="0" fontId="24" fillId="6" borderId="1" xfId="3" applyFill="1" applyBorder="1" applyAlignment="1">
      <alignment horizontal="center" vertical="center"/>
    </xf>
    <xf numFmtId="0" fontId="24" fillId="6" borderId="20" xfId="3" applyFill="1" applyBorder="1" applyAlignment="1" applyProtection="1">
      <alignment horizontal="center" vertical="center"/>
    </xf>
    <xf numFmtId="0" fontId="24" fillId="6" borderId="21" xfId="3" applyFill="1" applyBorder="1" applyAlignment="1" applyProtection="1">
      <alignment horizontal="center" vertical="center"/>
    </xf>
    <xf numFmtId="0" fontId="24" fillId="6" borderId="22" xfId="3" applyFill="1" applyBorder="1" applyAlignment="1" applyProtection="1">
      <alignment horizontal="center" vertical="center"/>
    </xf>
    <xf numFmtId="0" fontId="24" fillId="6" borderId="25" xfId="3" applyFill="1" applyBorder="1" applyAlignment="1" applyProtection="1">
      <alignment horizontal="center" vertical="center"/>
    </xf>
    <xf numFmtId="0" fontId="24" fillId="6" borderId="26" xfId="3" applyFill="1" applyBorder="1" applyAlignment="1" applyProtection="1">
      <alignment horizontal="center" vertical="center"/>
    </xf>
    <xf numFmtId="0" fontId="24" fillId="6" borderId="19" xfId="3" applyFill="1" applyBorder="1" applyAlignment="1" applyProtection="1">
      <alignment horizontal="center" vertical="center"/>
    </xf>
    <xf numFmtId="164" fontId="10" fillId="2" borderId="0" xfId="0" applyNumberFormat="1" applyFont="1" applyFill="1" applyAlignment="1" applyProtection="1">
      <alignment horizontal="center" vertical="center"/>
      <protection locked="0"/>
    </xf>
    <xf numFmtId="0" fontId="24" fillId="8" borderId="11" xfId="3" applyFill="1" applyBorder="1" applyAlignment="1">
      <alignment horizontal="center"/>
    </xf>
    <xf numFmtId="0" fontId="24" fillId="8" borderId="12" xfId="3" applyFill="1" applyBorder="1" applyAlignment="1">
      <alignment horizontal="center"/>
    </xf>
    <xf numFmtId="0" fontId="24" fillId="8" borderId="18" xfId="3" applyFill="1" applyBorder="1" applyAlignment="1">
      <alignment horizontal="center"/>
    </xf>
    <xf numFmtId="0" fontId="1" fillId="0" borderId="30" xfId="0" applyFont="1" applyBorder="1" applyAlignment="1" applyProtection="1">
      <alignment horizontal="center"/>
    </xf>
    <xf numFmtId="0" fontId="1" fillId="0" borderId="31" xfId="0" applyFont="1" applyBorder="1" applyAlignment="1" applyProtection="1">
      <alignment horizontal="center"/>
    </xf>
    <xf numFmtId="0" fontId="1" fillId="0" borderId="29" xfId="0" applyFont="1" applyBorder="1" applyAlignment="1" applyProtection="1">
      <alignment horizontal="center"/>
    </xf>
    <xf numFmtId="1" fontId="0" fillId="0" borderId="30" xfId="0" applyNumberFormat="1" applyFont="1" applyBorder="1" applyAlignment="1" applyProtection="1">
      <alignment horizontal="center"/>
    </xf>
    <xf numFmtId="1" fontId="0" fillId="0" borderId="29" xfId="0" applyNumberFormat="1" applyFont="1" applyBorder="1" applyAlignment="1" applyProtection="1">
      <alignment horizontal="center"/>
    </xf>
    <xf numFmtId="0" fontId="1" fillId="0" borderId="32" xfId="0" applyFont="1" applyBorder="1" applyAlignment="1" applyProtection="1">
      <alignment horizontal="center" vertical="center"/>
    </xf>
    <xf numFmtId="0" fontId="1" fillId="0" borderId="28" xfId="0" applyFont="1" applyBorder="1" applyAlignment="1" applyProtection="1">
      <alignment horizontal="center" vertical="center"/>
    </xf>
    <xf numFmtId="0" fontId="1" fillId="2" borderId="32" xfId="0" applyFont="1" applyFill="1" applyBorder="1" applyAlignment="1" applyProtection="1">
      <alignment horizontal="center" vertical="center"/>
    </xf>
    <xf numFmtId="0" fontId="1" fillId="2" borderId="28" xfId="0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/>
      <protection locked="0"/>
    </xf>
    <xf numFmtId="0" fontId="0" fillId="0" borderId="8" xfId="0" applyFill="1" applyBorder="1" applyAlignment="1" applyProtection="1">
      <alignment horizontal="center"/>
      <protection locked="0"/>
    </xf>
    <xf numFmtId="0" fontId="0" fillId="7" borderId="30" xfId="0" applyFont="1" applyFill="1" applyBorder="1" applyAlignment="1" applyProtection="1">
      <alignment horizontal="center" vertical="center"/>
    </xf>
    <xf numFmtId="0" fontId="0" fillId="7" borderId="31" xfId="0" applyFont="1" applyFill="1" applyBorder="1" applyAlignment="1" applyProtection="1">
      <alignment horizontal="center" vertical="center"/>
    </xf>
    <xf numFmtId="0" fontId="0" fillId="7" borderId="29" xfId="0" applyFont="1" applyFill="1" applyBorder="1" applyAlignment="1" applyProtection="1">
      <alignment horizontal="center" vertical="center"/>
    </xf>
    <xf numFmtId="0" fontId="3" fillId="2" borderId="11" xfId="0" applyFont="1" applyFill="1" applyBorder="1" applyAlignment="1" applyProtection="1">
      <alignment horizontal="center"/>
    </xf>
    <xf numFmtId="0" fontId="3" fillId="2" borderId="12" xfId="0" applyFont="1" applyFill="1" applyBorder="1" applyAlignment="1" applyProtection="1">
      <alignment horizontal="center"/>
    </xf>
    <xf numFmtId="0" fontId="3" fillId="2" borderId="18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9" borderId="3" xfId="0" applyFill="1" applyBorder="1" applyAlignment="1" applyProtection="1">
      <alignment horizontal="center" vertical="center"/>
      <protection locked="0"/>
    </xf>
    <xf numFmtId="0" fontId="0" fillId="9" borderId="4" xfId="0" applyFill="1" applyBorder="1" applyAlignment="1" applyProtection="1">
      <alignment horizontal="center" vertical="center"/>
      <protection locked="0"/>
    </xf>
    <xf numFmtId="0" fontId="0" fillId="9" borderId="20" xfId="0" applyFill="1" applyBorder="1" applyAlignment="1" applyProtection="1">
      <alignment horizontal="center" vertical="center"/>
      <protection locked="0"/>
    </xf>
    <xf numFmtId="0" fontId="0" fillId="9" borderId="22" xfId="0" applyFill="1" applyBorder="1" applyAlignment="1" applyProtection="1">
      <alignment horizontal="center" vertical="center"/>
      <protection locked="0"/>
    </xf>
    <xf numFmtId="0" fontId="0" fillId="9" borderId="25" xfId="0" applyFill="1" applyBorder="1" applyAlignment="1" applyProtection="1">
      <alignment horizontal="center" vertical="center"/>
      <protection locked="0"/>
    </xf>
    <xf numFmtId="0" fontId="0" fillId="9" borderId="19" xfId="0" applyFill="1" applyBorder="1" applyAlignment="1" applyProtection="1">
      <alignment horizontal="center" vertical="center"/>
      <protection locked="0"/>
    </xf>
    <xf numFmtId="0" fontId="0" fillId="9" borderId="23" xfId="0" applyFill="1" applyBorder="1" applyAlignment="1" applyProtection="1">
      <alignment horizontal="center" vertical="center"/>
      <protection locked="0"/>
    </xf>
    <xf numFmtId="0" fontId="0" fillId="9" borderId="24" xfId="0" applyFill="1" applyBorder="1" applyAlignment="1" applyProtection="1">
      <alignment horizontal="center" vertical="center"/>
      <protection locked="0"/>
    </xf>
    <xf numFmtId="0" fontId="6" fillId="2" borderId="20" xfId="0" applyFont="1" applyFill="1" applyBorder="1" applyAlignment="1" applyProtection="1">
      <alignment horizontal="center" vertical="center"/>
    </xf>
    <xf numFmtId="0" fontId="6" fillId="2" borderId="21" xfId="0" applyFont="1" applyFill="1" applyBorder="1" applyAlignment="1" applyProtection="1">
      <alignment horizontal="center" vertical="center"/>
    </xf>
    <xf numFmtId="0" fontId="6" fillId="2" borderId="22" xfId="0" applyFont="1" applyFill="1" applyBorder="1" applyAlignment="1" applyProtection="1">
      <alignment horizontal="center" vertical="center"/>
    </xf>
    <xf numFmtId="0" fontId="6" fillId="2" borderId="23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6" fillId="2" borderId="24" xfId="0" applyFont="1" applyFill="1" applyBorder="1" applyAlignment="1" applyProtection="1">
      <alignment horizontal="center" vertical="center"/>
    </xf>
    <xf numFmtId="0" fontId="6" fillId="2" borderId="25" xfId="0" applyFont="1" applyFill="1" applyBorder="1" applyAlignment="1" applyProtection="1">
      <alignment horizontal="center" vertical="center"/>
    </xf>
    <xf numFmtId="0" fontId="6" fillId="2" borderId="26" xfId="0" applyFont="1" applyFill="1" applyBorder="1" applyAlignment="1" applyProtection="1">
      <alignment horizontal="center" vertical="center"/>
    </xf>
    <xf numFmtId="0" fontId="6" fillId="2" borderId="19" xfId="0" applyFont="1" applyFill="1" applyBorder="1" applyAlignment="1" applyProtection="1">
      <alignment horizontal="center" vertical="center"/>
    </xf>
    <xf numFmtId="0" fontId="16" fillId="10" borderId="39" xfId="0" applyFont="1" applyFill="1" applyBorder="1" applyAlignment="1">
      <alignment horizontal="center" vertical="center"/>
    </xf>
    <xf numFmtId="0" fontId="16" fillId="10" borderId="40" xfId="0" applyFont="1" applyFill="1" applyBorder="1" applyAlignment="1">
      <alignment horizontal="center" vertical="center"/>
    </xf>
    <xf numFmtId="0" fontId="16" fillId="10" borderId="41" xfId="0" applyFont="1" applyFill="1" applyBorder="1" applyAlignment="1">
      <alignment horizontal="center" vertical="center"/>
    </xf>
    <xf numFmtId="0" fontId="16" fillId="10" borderId="38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6" fillId="10" borderId="44" xfId="0" applyFont="1" applyFill="1" applyBorder="1" applyAlignment="1">
      <alignment horizontal="center" vertical="center"/>
    </xf>
    <xf numFmtId="0" fontId="16" fillId="10" borderId="45" xfId="0" applyFont="1" applyFill="1" applyBorder="1" applyAlignment="1">
      <alignment horizontal="center" vertical="center"/>
    </xf>
    <xf numFmtId="0" fontId="16" fillId="10" borderId="46" xfId="0" applyFont="1" applyFill="1" applyBorder="1" applyAlignment="1">
      <alignment horizontal="center" vertical="center"/>
    </xf>
    <xf numFmtId="0" fontId="16" fillId="10" borderId="47" xfId="0" applyFont="1" applyFill="1" applyBorder="1" applyAlignment="1">
      <alignment horizontal="center" vertical="center"/>
    </xf>
    <xf numFmtId="0" fontId="16" fillId="10" borderId="35" xfId="0" applyFont="1" applyFill="1" applyBorder="1" applyAlignment="1">
      <alignment horizontal="center" vertical="center"/>
    </xf>
    <xf numFmtId="0" fontId="16" fillId="10" borderId="36" xfId="0" applyFont="1" applyFill="1" applyBorder="1" applyAlignment="1">
      <alignment horizontal="center" vertical="center"/>
    </xf>
    <xf numFmtId="0" fontId="16" fillId="10" borderId="37" xfId="0" applyFont="1" applyFill="1" applyBorder="1" applyAlignment="1">
      <alignment horizontal="center" vertical="center"/>
    </xf>
  </cellXfs>
  <cellStyles count="5">
    <cellStyle name="Encabezado 4" xfId="4" builtinId="19"/>
    <cellStyle name="Hipervínculo" xfId="1" builtinId="8"/>
    <cellStyle name="Normal" xfId="0" builtinId="0"/>
    <cellStyle name="Porcentaje" xfId="2" builtinId="5"/>
    <cellStyle name="Título" xfId="3" builtinId="15"/>
  </cellStyles>
  <dxfs count="157"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rgb="FF0070C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/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0070C0"/>
        </left>
        <right/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border outline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rgb="FF0070C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/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0070C0"/>
        </left>
        <right/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border outline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0" formatCode="d\-mmm\-yy"/>
      <fill>
        <patternFill patternType="none">
          <fgColor indexed="64"/>
          <bgColor auto="1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alignment horizontal="general" vertical="center" textRotation="0" wrapText="0" indent="0" justifyLastLine="0" shrinkToFit="0" readingOrder="0"/>
    </dxf>
    <dxf>
      <numFmt numFmtId="20" formatCode="d\-mmm\-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" formatCode="d\-mmm\-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CCCCFF"/>
      <color rgb="FF3333FF"/>
      <color rgb="FF3399FF"/>
      <color rgb="FF0066FF"/>
      <color rgb="FFFF3399"/>
      <color rgb="FFFF7C80"/>
      <color rgb="FF1468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619125</xdr:colOff>
          <xdr:row>9</xdr:row>
          <xdr:rowOff>38100</xdr:rowOff>
        </xdr:from>
        <xdr:to>
          <xdr:col>19</xdr:col>
          <xdr:colOff>933450</xdr:colOff>
          <xdr:row>12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619125</xdr:colOff>
          <xdr:row>9</xdr:row>
          <xdr:rowOff>38100</xdr:rowOff>
        </xdr:from>
        <xdr:to>
          <xdr:col>19</xdr:col>
          <xdr:colOff>933450</xdr:colOff>
          <xdr:row>12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619125</xdr:colOff>
          <xdr:row>9</xdr:row>
          <xdr:rowOff>38100</xdr:rowOff>
        </xdr:from>
        <xdr:to>
          <xdr:col>19</xdr:col>
          <xdr:colOff>933450</xdr:colOff>
          <xdr:row>12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619125</xdr:colOff>
          <xdr:row>9</xdr:row>
          <xdr:rowOff>38100</xdr:rowOff>
        </xdr:from>
        <xdr:to>
          <xdr:col>19</xdr:col>
          <xdr:colOff>933450</xdr:colOff>
          <xdr:row>12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552450</xdr:colOff>
          <xdr:row>10</xdr:row>
          <xdr:rowOff>0</xdr:rowOff>
        </xdr:from>
        <xdr:to>
          <xdr:col>19</xdr:col>
          <xdr:colOff>390525</xdr:colOff>
          <xdr:row>13</xdr:row>
          <xdr:rowOff>9525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9348107" cy="489857"/>
    <xdr:sp macro="" textlink="">
      <xdr:nvSpPr>
        <xdr:cNvPr id="2" name="3 Rectángulo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180975" y="0"/>
          <a:ext cx="9348107" cy="48985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XXXII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B2 )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2</xdr:col>
      <xdr:colOff>0</xdr:colOff>
      <xdr:row>2</xdr:row>
      <xdr:rowOff>13607</xdr:rowOff>
    </xdr:from>
    <xdr:to>
      <xdr:col>2</xdr:col>
      <xdr:colOff>2771775</xdr:colOff>
      <xdr:row>7</xdr:row>
      <xdr:rowOff>27214</xdr:rowOff>
    </xdr:to>
    <xdr:pic>
      <xdr:nvPicPr>
        <xdr:cNvPr id="3" name="Picture 2" descr="logo1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508907"/>
          <a:ext cx="2771775" cy="12518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14</xdr:col>
      <xdr:colOff>0</xdr:colOff>
      <xdr:row>0</xdr:row>
      <xdr:rowOff>0</xdr:rowOff>
    </xdr:from>
    <xdr:ext cx="9313333" cy="499304"/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9867900" y="0"/>
          <a:ext cx="9313333" cy="499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XXXII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B2 )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15</xdr:col>
      <xdr:colOff>19050</xdr:colOff>
      <xdr:row>1</xdr:row>
      <xdr:rowOff>238125</xdr:rowOff>
    </xdr:from>
    <xdr:to>
      <xdr:col>15</xdr:col>
      <xdr:colOff>2790825</xdr:colOff>
      <xdr:row>7</xdr:row>
      <xdr:rowOff>143555</xdr:rowOff>
    </xdr:to>
    <xdr:pic>
      <xdr:nvPicPr>
        <xdr:cNvPr id="5" name="Picture 2" descr="logo1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201275" y="485775"/>
          <a:ext cx="2771775" cy="1391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</xdr:col>
      <xdr:colOff>0</xdr:colOff>
      <xdr:row>28</xdr:row>
      <xdr:rowOff>13606</xdr:rowOff>
    </xdr:from>
    <xdr:ext cx="9348107" cy="476251"/>
    <xdr:sp macro="" textlink="">
      <xdr:nvSpPr>
        <xdr:cNvPr id="6" name="3 Rectángulo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180975" y="6947806"/>
          <a:ext cx="9348107" cy="47625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XXXII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B2 )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</xdr:col>
      <xdr:colOff>0</xdr:colOff>
      <xdr:row>30</xdr:row>
      <xdr:rowOff>1</xdr:rowOff>
    </xdr:from>
    <xdr:ext cx="2771775" cy="1238250"/>
    <xdr:pic>
      <xdr:nvPicPr>
        <xdr:cNvPr id="7" name="Picture 2" descr="logo1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7429501"/>
          <a:ext cx="2771775" cy="1238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176892</xdr:colOff>
      <xdr:row>56</xdr:row>
      <xdr:rowOff>27214</xdr:rowOff>
    </xdr:from>
    <xdr:ext cx="9348107" cy="462643"/>
    <xdr:sp macro="" textlink="">
      <xdr:nvSpPr>
        <xdr:cNvPr id="8" name="3 Rectángulo"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SpPr/>
      </xdr:nvSpPr>
      <xdr:spPr>
        <a:xfrm>
          <a:off x="176892" y="13895614"/>
          <a:ext cx="9348107" cy="46264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XXXII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B2 )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</xdr:col>
      <xdr:colOff>0</xdr:colOff>
      <xdr:row>58</xdr:row>
      <xdr:rowOff>1</xdr:rowOff>
    </xdr:from>
    <xdr:ext cx="2771775" cy="1211036"/>
    <xdr:pic>
      <xdr:nvPicPr>
        <xdr:cNvPr id="9" name="Picture 2" descr="logo1">
          <a:extLst>
            <a:ext uri="{FF2B5EF4-FFF2-40B4-BE49-F238E27FC236}">
              <a16:creationId xmlns:a16="http://schemas.microsoft.com/office/drawing/2014/main" id="{00000000-0008-0000-1E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14363701"/>
          <a:ext cx="2771775" cy="12110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163286</xdr:colOff>
      <xdr:row>84</xdr:row>
      <xdr:rowOff>13606</xdr:rowOff>
    </xdr:from>
    <xdr:ext cx="9361714" cy="476251"/>
    <xdr:sp macro="" textlink="">
      <xdr:nvSpPr>
        <xdr:cNvPr id="10" name="3 Rectángulo">
          <a:extLst>
            <a:ext uri="{FF2B5EF4-FFF2-40B4-BE49-F238E27FC236}">
              <a16:creationId xmlns:a16="http://schemas.microsoft.com/office/drawing/2014/main" id="{00000000-0008-0000-1E00-00000A000000}"/>
            </a:ext>
          </a:extLst>
        </xdr:cNvPr>
        <xdr:cNvSpPr/>
      </xdr:nvSpPr>
      <xdr:spPr>
        <a:xfrm>
          <a:off x="163286" y="20816206"/>
          <a:ext cx="9361714" cy="47625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XXXII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B2 )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1</xdr:col>
      <xdr:colOff>272143</xdr:colOff>
      <xdr:row>86</xdr:row>
      <xdr:rowOff>0</xdr:rowOff>
    </xdr:from>
    <xdr:ext cx="2771775" cy="1211035"/>
    <xdr:pic>
      <xdr:nvPicPr>
        <xdr:cNvPr id="11" name="Picture 2" descr="logo1">
          <a:extLst>
            <a:ext uri="{FF2B5EF4-FFF2-40B4-BE49-F238E27FC236}">
              <a16:creationId xmlns:a16="http://schemas.microsoft.com/office/drawing/2014/main" id="{00000000-0008-0000-1E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3118" y="21297900"/>
          <a:ext cx="2771775" cy="12110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21</xdr:col>
      <xdr:colOff>0</xdr:colOff>
      <xdr:row>0</xdr:row>
      <xdr:rowOff>0</xdr:rowOff>
    </xdr:from>
    <xdr:ext cx="9154583" cy="499304"/>
    <xdr:sp macro="" textlink="">
      <xdr:nvSpPr>
        <xdr:cNvPr id="12" name="3 Rectángulo">
          <a:extLst>
            <a:ext uri="{FF2B5EF4-FFF2-40B4-BE49-F238E27FC236}">
              <a16:creationId xmlns:a16="http://schemas.microsoft.com/office/drawing/2014/main" id="{00000000-0008-0000-1E00-00000C000000}"/>
            </a:ext>
          </a:extLst>
        </xdr:cNvPr>
        <xdr:cNvSpPr/>
      </xdr:nvSpPr>
      <xdr:spPr>
        <a:xfrm>
          <a:off x="19535775" y="0"/>
          <a:ext cx="9154583" cy="499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XXXII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B2 )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22</xdr:col>
      <xdr:colOff>19052</xdr:colOff>
      <xdr:row>1</xdr:row>
      <xdr:rowOff>238125</xdr:rowOff>
    </xdr:from>
    <xdr:ext cx="2771775" cy="1337204"/>
    <xdr:pic>
      <xdr:nvPicPr>
        <xdr:cNvPr id="13" name="Picture 2" descr="logo1">
          <a:extLst>
            <a:ext uri="{FF2B5EF4-FFF2-40B4-BE49-F238E27FC236}">
              <a16:creationId xmlns:a16="http://schemas.microsoft.com/office/drawing/2014/main" id="{00000000-0008-0000-1E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869152" y="485775"/>
          <a:ext cx="2771775" cy="13372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27</xdr:col>
      <xdr:colOff>0</xdr:colOff>
      <xdr:row>0</xdr:row>
      <xdr:rowOff>0</xdr:rowOff>
    </xdr:from>
    <xdr:ext cx="9334500" cy="499304"/>
    <xdr:sp macro="" textlink="">
      <xdr:nvSpPr>
        <xdr:cNvPr id="14" name="3 Rectángulo">
          <a:extLst>
            <a:ext uri="{FF2B5EF4-FFF2-40B4-BE49-F238E27FC236}">
              <a16:creationId xmlns:a16="http://schemas.microsoft.com/office/drawing/2014/main" id="{00000000-0008-0000-1E00-00000E000000}"/>
            </a:ext>
          </a:extLst>
        </xdr:cNvPr>
        <xdr:cNvSpPr/>
      </xdr:nvSpPr>
      <xdr:spPr>
        <a:xfrm>
          <a:off x="29022675" y="0"/>
          <a:ext cx="9334500" cy="499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XXXII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B2 )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27</xdr:col>
      <xdr:colOff>315378</xdr:colOff>
      <xdr:row>1</xdr:row>
      <xdr:rowOff>238125</xdr:rowOff>
    </xdr:from>
    <xdr:ext cx="2771775" cy="1337204"/>
    <xdr:pic>
      <xdr:nvPicPr>
        <xdr:cNvPr id="15" name="Picture 2" descr="logo1">
          <a:extLst>
            <a:ext uri="{FF2B5EF4-FFF2-40B4-BE49-F238E27FC236}">
              <a16:creationId xmlns:a16="http://schemas.microsoft.com/office/drawing/2014/main" id="{00000000-0008-0000-1E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338053" y="485775"/>
          <a:ext cx="2771775" cy="13372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9348107" cy="489857"/>
    <xdr:sp macro="" textlink="">
      <xdr:nvSpPr>
        <xdr:cNvPr id="2" name="3 Rectángulo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176893" y="0"/>
          <a:ext cx="9348107" cy="48985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XXXII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B2 )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2</xdr:col>
      <xdr:colOff>0</xdr:colOff>
      <xdr:row>2</xdr:row>
      <xdr:rowOff>13607</xdr:rowOff>
    </xdr:from>
    <xdr:to>
      <xdr:col>2</xdr:col>
      <xdr:colOff>2771775</xdr:colOff>
      <xdr:row>7</xdr:row>
      <xdr:rowOff>27214</xdr:rowOff>
    </xdr:to>
    <xdr:pic>
      <xdr:nvPicPr>
        <xdr:cNvPr id="3" name="Picture 2" descr="logo1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9857" y="503464"/>
          <a:ext cx="2771775" cy="1238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14</xdr:col>
      <xdr:colOff>0</xdr:colOff>
      <xdr:row>0</xdr:row>
      <xdr:rowOff>0</xdr:rowOff>
    </xdr:from>
    <xdr:ext cx="9313333" cy="499304"/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SpPr/>
      </xdr:nvSpPr>
      <xdr:spPr>
        <a:xfrm>
          <a:off x="10534650" y="0"/>
          <a:ext cx="9313333" cy="499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XXXII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B2 )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15</xdr:col>
      <xdr:colOff>19050</xdr:colOff>
      <xdr:row>1</xdr:row>
      <xdr:rowOff>238125</xdr:rowOff>
    </xdr:from>
    <xdr:to>
      <xdr:col>15</xdr:col>
      <xdr:colOff>2790825</xdr:colOff>
      <xdr:row>7</xdr:row>
      <xdr:rowOff>143555</xdr:rowOff>
    </xdr:to>
    <xdr:pic>
      <xdr:nvPicPr>
        <xdr:cNvPr id="5" name="Picture 2" descr="logo1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68025" y="504825"/>
          <a:ext cx="2771775" cy="13477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</xdr:col>
      <xdr:colOff>0</xdr:colOff>
      <xdr:row>28</xdr:row>
      <xdr:rowOff>13606</xdr:rowOff>
    </xdr:from>
    <xdr:ext cx="9348107" cy="476251"/>
    <xdr:sp macro="" textlink="">
      <xdr:nvSpPr>
        <xdr:cNvPr id="6" name="3 Rectángulo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176893" y="6871606"/>
          <a:ext cx="9348107" cy="47625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XXXII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B2 )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</xdr:col>
      <xdr:colOff>0</xdr:colOff>
      <xdr:row>30</xdr:row>
      <xdr:rowOff>1</xdr:rowOff>
    </xdr:from>
    <xdr:ext cx="2771775" cy="1238250"/>
    <xdr:pic>
      <xdr:nvPicPr>
        <xdr:cNvPr id="7" name="Picture 2" descr="logo1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9857" y="7347858"/>
          <a:ext cx="2771775" cy="1238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176892</xdr:colOff>
      <xdr:row>56</xdr:row>
      <xdr:rowOff>27214</xdr:rowOff>
    </xdr:from>
    <xdr:ext cx="9348107" cy="462643"/>
    <xdr:sp macro="" textlink="">
      <xdr:nvSpPr>
        <xdr:cNvPr id="8" name="3 Rectángulo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SpPr/>
      </xdr:nvSpPr>
      <xdr:spPr>
        <a:xfrm>
          <a:off x="176892" y="13743214"/>
          <a:ext cx="9348107" cy="46264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XXXII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B2 )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</xdr:col>
      <xdr:colOff>0</xdr:colOff>
      <xdr:row>58</xdr:row>
      <xdr:rowOff>1</xdr:rowOff>
    </xdr:from>
    <xdr:ext cx="2771775" cy="1211036"/>
    <xdr:pic>
      <xdr:nvPicPr>
        <xdr:cNvPr id="9" name="Picture 2" descr="logo1">
          <a:extLst>
            <a:ext uri="{FF2B5EF4-FFF2-40B4-BE49-F238E27FC236}">
              <a16:creationId xmlns:a16="http://schemas.microsoft.com/office/drawing/2014/main" id="{00000000-0008-0000-1F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9857" y="14940644"/>
          <a:ext cx="2771775" cy="12110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163286</xdr:colOff>
      <xdr:row>84</xdr:row>
      <xdr:rowOff>13606</xdr:rowOff>
    </xdr:from>
    <xdr:ext cx="9361714" cy="476251"/>
    <xdr:sp macro="" textlink="">
      <xdr:nvSpPr>
        <xdr:cNvPr id="10" name="3 Rectángulo">
          <a:extLst>
            <a:ext uri="{FF2B5EF4-FFF2-40B4-BE49-F238E27FC236}">
              <a16:creationId xmlns:a16="http://schemas.microsoft.com/office/drawing/2014/main" id="{00000000-0008-0000-1F00-00000A000000}"/>
            </a:ext>
          </a:extLst>
        </xdr:cNvPr>
        <xdr:cNvSpPr/>
      </xdr:nvSpPr>
      <xdr:spPr>
        <a:xfrm>
          <a:off x="163286" y="20587606"/>
          <a:ext cx="9361714" cy="47625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XXXII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B2 )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1</xdr:col>
      <xdr:colOff>272143</xdr:colOff>
      <xdr:row>86</xdr:row>
      <xdr:rowOff>0</xdr:rowOff>
    </xdr:from>
    <xdr:ext cx="2771775" cy="1211035"/>
    <xdr:pic>
      <xdr:nvPicPr>
        <xdr:cNvPr id="11" name="Picture 2" descr="logo1">
          <a:extLst>
            <a:ext uri="{FF2B5EF4-FFF2-40B4-BE49-F238E27FC236}">
              <a16:creationId xmlns:a16="http://schemas.microsoft.com/office/drawing/2014/main" id="{00000000-0008-0000-1F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49036" y="21063857"/>
          <a:ext cx="2771775" cy="12110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21</xdr:col>
      <xdr:colOff>0</xdr:colOff>
      <xdr:row>0</xdr:row>
      <xdr:rowOff>0</xdr:rowOff>
    </xdr:from>
    <xdr:ext cx="9154583" cy="499304"/>
    <xdr:sp macro="" textlink="">
      <xdr:nvSpPr>
        <xdr:cNvPr id="12" name="3 Rectángulo">
          <a:extLst>
            <a:ext uri="{FF2B5EF4-FFF2-40B4-BE49-F238E27FC236}">
              <a16:creationId xmlns:a16="http://schemas.microsoft.com/office/drawing/2014/main" id="{00000000-0008-0000-1F00-00000C000000}"/>
            </a:ext>
          </a:extLst>
        </xdr:cNvPr>
        <xdr:cNvSpPr/>
      </xdr:nvSpPr>
      <xdr:spPr>
        <a:xfrm>
          <a:off x="20202525" y="0"/>
          <a:ext cx="9154583" cy="499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XXXII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B2 )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22</xdr:col>
      <xdr:colOff>19052</xdr:colOff>
      <xdr:row>1</xdr:row>
      <xdr:rowOff>238125</xdr:rowOff>
    </xdr:from>
    <xdr:ext cx="2771775" cy="1337204"/>
    <xdr:pic>
      <xdr:nvPicPr>
        <xdr:cNvPr id="13" name="Picture 2" descr="logo1">
          <a:extLst>
            <a:ext uri="{FF2B5EF4-FFF2-40B4-BE49-F238E27FC236}">
              <a16:creationId xmlns:a16="http://schemas.microsoft.com/office/drawing/2014/main" id="{00000000-0008-0000-1F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535902" y="504825"/>
          <a:ext cx="2771775" cy="13372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27</xdr:col>
      <xdr:colOff>0</xdr:colOff>
      <xdr:row>0</xdr:row>
      <xdr:rowOff>0</xdr:rowOff>
    </xdr:from>
    <xdr:ext cx="9334500" cy="499304"/>
    <xdr:sp macro="" textlink="">
      <xdr:nvSpPr>
        <xdr:cNvPr id="14" name="3 Rectángulo">
          <a:extLst>
            <a:ext uri="{FF2B5EF4-FFF2-40B4-BE49-F238E27FC236}">
              <a16:creationId xmlns:a16="http://schemas.microsoft.com/office/drawing/2014/main" id="{00000000-0008-0000-1F00-00000E000000}"/>
            </a:ext>
          </a:extLst>
        </xdr:cNvPr>
        <xdr:cNvSpPr/>
      </xdr:nvSpPr>
      <xdr:spPr>
        <a:xfrm>
          <a:off x="29689425" y="0"/>
          <a:ext cx="9334500" cy="499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XXXII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B2 )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27</xdr:col>
      <xdr:colOff>315378</xdr:colOff>
      <xdr:row>1</xdr:row>
      <xdr:rowOff>238125</xdr:rowOff>
    </xdr:from>
    <xdr:ext cx="2771775" cy="1337204"/>
    <xdr:pic>
      <xdr:nvPicPr>
        <xdr:cNvPr id="15" name="Picture 2" descr="logo1">
          <a:extLst>
            <a:ext uri="{FF2B5EF4-FFF2-40B4-BE49-F238E27FC236}">
              <a16:creationId xmlns:a16="http://schemas.microsoft.com/office/drawing/2014/main" id="{00000000-0008-0000-1F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004803" y="504825"/>
          <a:ext cx="2771775" cy="13372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novo/Dropbox/TORNEOS%20MARCHAGAS/FIXTURE%20E%20INFORMES/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"/>
    </sheet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B5:K53" totalsRowShown="0" headerRowDxfId="156" dataDxfId="154" headerRowBorderDxfId="155" tableBorderDxfId="153" totalsRowBorderDxfId="152">
  <autoFilter ref="B5:K53" xr:uid="{EC574F01-F1F1-4319-9A7F-6AEC3D2402A2}"/>
  <sortState ref="B6:K53">
    <sortCondition ref="C5:C53"/>
  </sortState>
  <tableColumns count="10">
    <tableColumn id="1" xr3:uid="{00000000-0010-0000-0000-000001000000}" name="REPRESENTANTE" dataDxfId="151"/>
    <tableColumn id="2" xr3:uid="{00000000-0010-0000-0000-000002000000}" name="EQUIPO" dataDxfId="150"/>
    <tableColumn id="3" xr3:uid="{00000000-0010-0000-0000-000003000000}" name="CELULAR " dataDxfId="149"/>
    <tableColumn id="5" xr3:uid="{00000000-0010-0000-0000-000005000000}" name="FIJO" dataDxfId="148"/>
    <tableColumn id="9" xr3:uid="{00000000-0010-0000-0000-000009000000}" name="AUXILIAR" dataDxfId="147"/>
    <tableColumn id="8" xr3:uid="{00000000-0010-0000-0000-000008000000}" name="CELULAR 2" dataDxfId="146"/>
    <tableColumn id="6" xr3:uid="{00000000-0010-0000-0000-000006000000}" name="E-MAIL" dataDxfId="145" dataCellStyle="Hipervínculo"/>
    <tableColumn id="11" xr3:uid="{B5AF55C8-C8B4-4C8C-A466-502C65B129B1}" name="OBSERVACIONES" dataDxfId="144" dataCellStyle="Normal"/>
    <tableColumn id="7" xr3:uid="{00000000-0010-0000-0000-000007000000}" name="REGLAMENTO" dataDxfId="143"/>
    <tableColumn id="4" xr3:uid="{6C822F00-851B-4688-B018-8A384CC6D866}" name="ENVIADO" dataDxfId="14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C4C2E0C-E651-46CE-AA57-2E83624B38DE}" name="Tabla5" displayName="Tabla5" ref="A1:D217">
  <autoFilter ref="A1:D217" xr:uid="{56EB5C68-C5FA-408D-A308-E5859E691FB4}"/>
  <sortState ref="A2:D217">
    <sortCondition ref="C1:C217"/>
  </sortState>
  <tableColumns count="4">
    <tableColumn id="2" xr3:uid="{89CBCD05-E64E-481E-9A33-20B63E9CF7F7}" name="N° CEDULA" totalsRowLabel="Total" dataDxfId="141" totalsRowDxfId="140"/>
    <tableColumn id="3" xr3:uid="{A161B961-A30B-4D64-ABDD-C62AFAE6033C}" name="NOMBRE" dataDxfId="139" totalsRowDxfId="138">
      <calculatedColumnFormula>IF(A2&lt;&gt;0,VLOOKUP(Tabla5[[#This Row],[N° CEDULA]],[1]!BASE_DATOS[#Data],2,0)," ")</calculatedColumnFormula>
    </tableColumn>
    <tableColumn id="4" xr3:uid="{15083327-9A2F-4EEA-8D57-D4743D670BE0}" name="EQUIPO" dataDxfId="137" totalsRowDxfId="136"/>
    <tableColumn id="1" xr3:uid="{3856A8BE-6479-4E1E-A5A0-65BFFDF89699}" name="FECHA" totalsRowFunction="count" dataDxfId="135" totalsRowDxfId="13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79B38E-ACAE-4FCA-9B98-8EA7FFE296D8}" name="Tabla115" displayName="Tabla115" ref="A5:H23" totalsRowShown="0" headerRowDxfId="67" dataDxfId="66">
  <autoFilter ref="A5:H23" xr:uid="{00000000-0009-0000-0100-000001000000}">
    <filterColumn colId="5">
      <filters blank="1"/>
    </filterColumn>
  </autoFilter>
  <sortState ref="A8:H23">
    <sortCondition ref="D5:D23"/>
  </sortState>
  <tableColumns count="8">
    <tableColumn id="1" xr3:uid="{9B77A583-7C36-4BDF-8AEA-D66E7DECB7E4}" name="FECHA" dataDxfId="65"/>
    <tableColumn id="8" xr3:uid="{F51A2574-44E1-46DE-AF87-131B7D1529E0}" name="CEDULA" dataDxfId="64"/>
    <tableColumn id="2" xr3:uid="{D935779E-C689-4EAB-81EA-7C83D877C199}" name="NOMBRE" dataDxfId="63">
      <calculatedColumnFormula>IF(B6&lt;&gt;0,VLOOKUP(Tabla115[[#This Row],[CEDULA]],Tabla5[],2,0)," ")</calculatedColumnFormula>
    </tableColumn>
    <tableColumn id="3" xr3:uid="{123F6538-A78C-4566-BD79-93ABF5DB5AC4}" name="EQUIPO" dataDxfId="62">
      <calculatedColumnFormula>IF(B6&lt;&gt;0,VLOOKUP(Tabla115[[#This Row],[CEDULA]],Tabla5[],3,0)," ")</calculatedColumnFormula>
    </tableColumn>
    <tableColumn id="4" xr3:uid="{EC1A1F53-FFA6-49EE-8A6F-EE5E95888192}" name="GENERADO" dataDxfId="61"/>
    <tableColumn id="5" xr3:uid="{26C76AF5-7D9D-4A5C-A490-2B6C80F8096B}" name="PAGADO" dataDxfId="60"/>
    <tableColumn id="6" xr3:uid="{C8DBD6D6-5554-4430-8929-20B64A94C9ED}" name="FECHA PAGO" dataDxfId="59"/>
    <tableColumn id="7" xr3:uid="{4FE3FF23-9AD9-4FCC-A7A2-6F826EEDBF09}" name="FECHAS" dataDxfId="58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55B0169-98DB-42DA-9E70-A7C10565BCB8}" name="Tabla3678910111213141511" displayName="Tabla3678910111213141511" ref="AC11:AE71" totalsRowShown="0" headerRowDxfId="9" tableBorderDxfId="8">
  <autoFilter ref="AC11:AE71" xr:uid="{DA32BF56-103C-4DC3-88F4-E5C1887C2D51}"/>
  <sortState ref="AC12:AE71">
    <sortCondition descending="1" ref="AE11:AE71"/>
  </sortState>
  <tableColumns count="3">
    <tableColumn id="1" xr3:uid="{2275572B-04E5-460A-BAFC-B501D1C48325}" name="NOMBRE" dataDxfId="7"/>
    <tableColumn id="2" xr3:uid="{ACEE97FE-2BCF-485A-962C-0320926C4823}" name="EQUIPO" dataDxfId="6"/>
    <tableColumn id="3" xr3:uid="{96CDED39-5B22-48DC-A992-BE5327C7D82D}" name="GOLES" dataDxfId="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AC0DBC-F494-432A-967F-E1BC407697FD}" name="Tabla36789101112131415" displayName="Tabla36789101112131415" ref="AC11:AE31" totalsRowShown="0" headerRowDxfId="4" tableBorderDxfId="3">
  <autoFilter ref="AC11:AE31" xr:uid="{DA32BF56-103C-4DC3-88F4-E5C1887C2D51}"/>
  <sortState ref="AC12:AE31">
    <sortCondition descending="1" ref="AE11:AE31"/>
  </sortState>
  <tableColumns count="3">
    <tableColumn id="1" xr3:uid="{131EF54E-A686-4821-B545-8E4DB69A69CD}" name="NOMBRE" dataDxfId="2"/>
    <tableColumn id="2" xr3:uid="{4BABC773-BA09-44BD-B645-171ED86D427F}" name="EQUIPO" dataDxfId="1"/>
    <tableColumn id="3" xr3:uid="{F75909C4-1004-48B3-B85F-1749F10F0A76}" name="GOL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yesoquintero@hotmail.com" TargetMode="External"/><Relationship Id="rId18" Type="http://schemas.openxmlformats.org/officeDocument/2006/relationships/hyperlink" Target="mailto:miltoncorrea05@hotmail.com" TargetMode="External"/><Relationship Id="rId26" Type="http://schemas.openxmlformats.org/officeDocument/2006/relationships/hyperlink" Target="mailto:luisalbertogranados07@gmail.com" TargetMode="External"/><Relationship Id="rId3" Type="http://schemas.openxmlformats.org/officeDocument/2006/relationships/hyperlink" Target="mailto:jr224843@gmail.com" TargetMode="External"/><Relationship Id="rId21" Type="http://schemas.openxmlformats.org/officeDocument/2006/relationships/hyperlink" Target="mailto:maurogiraldo10@gmail.com" TargetMode="External"/><Relationship Id="rId7" Type="http://schemas.openxmlformats.org/officeDocument/2006/relationships/hyperlink" Target="mailto:suarez1979nelson@gmail.com" TargetMode="External"/><Relationship Id="rId12" Type="http://schemas.openxmlformats.org/officeDocument/2006/relationships/hyperlink" Target="mailto:lg9671115@gmail.com" TargetMode="External"/><Relationship Id="rId17" Type="http://schemas.openxmlformats.org/officeDocument/2006/relationships/hyperlink" Target="mailto:giraldorichy36@gmail.com" TargetMode="External"/><Relationship Id="rId25" Type="http://schemas.openxmlformats.org/officeDocument/2006/relationships/hyperlink" Target="mailto:gerardoramirezconstrucciones@gmail.com" TargetMode="External"/><Relationship Id="rId33" Type="http://schemas.openxmlformats.org/officeDocument/2006/relationships/table" Target="../tables/table1.xml"/><Relationship Id="rId2" Type="http://schemas.openxmlformats.org/officeDocument/2006/relationships/hyperlink" Target="mailto:wilmanrodriguez2021@yahoo.com" TargetMode="External"/><Relationship Id="rId16" Type="http://schemas.openxmlformats.org/officeDocument/2006/relationships/hyperlink" Target="mailto:dfguevara@unitecnica.net" TargetMode="External"/><Relationship Id="rId20" Type="http://schemas.openxmlformats.org/officeDocument/2006/relationships/hyperlink" Target="mailto:fredysoto591@gmail.com" TargetMode="External"/><Relationship Id="rId29" Type="http://schemas.openxmlformats.org/officeDocument/2006/relationships/hyperlink" Target="mailto:javiermarinbeta@gmail.com" TargetMode="External"/><Relationship Id="rId1" Type="http://schemas.openxmlformats.org/officeDocument/2006/relationships/hyperlink" Target="mailto:eduardoorozcolop@gmail.com" TargetMode="External"/><Relationship Id="rId6" Type="http://schemas.openxmlformats.org/officeDocument/2006/relationships/hyperlink" Target="mailto:davidsmith86@gmail.com" TargetMode="External"/><Relationship Id="rId11" Type="http://schemas.openxmlformats.org/officeDocument/2006/relationships/hyperlink" Target="mailto:jhonnatan15manios@gmail.com" TargetMode="External"/><Relationship Id="rId24" Type="http://schemas.openxmlformats.org/officeDocument/2006/relationships/hyperlink" Target="mailto:vimaga1912@gmail.com" TargetMode="External"/><Relationship Id="rId32" Type="http://schemas.openxmlformats.org/officeDocument/2006/relationships/printerSettings" Target="../printerSettings/printerSettings1.bin"/><Relationship Id="rId5" Type="http://schemas.openxmlformats.org/officeDocument/2006/relationships/hyperlink" Target="mailto:jpgar562@gmail.com" TargetMode="External"/><Relationship Id="rId15" Type="http://schemas.openxmlformats.org/officeDocument/2006/relationships/hyperlink" Target="mailto:juliotr2008@gmail.com" TargetMode="External"/><Relationship Id="rId23" Type="http://schemas.openxmlformats.org/officeDocument/2006/relationships/hyperlink" Target="mailto:joserestrepo978@gmail.com" TargetMode="External"/><Relationship Id="rId28" Type="http://schemas.openxmlformats.org/officeDocument/2006/relationships/hyperlink" Target="mailto:wilmarzg4@gmail.com" TargetMode="External"/><Relationship Id="rId10" Type="http://schemas.openxmlformats.org/officeDocument/2006/relationships/hyperlink" Target="mailto:96.yesa.15@gmail.com" TargetMode="External"/><Relationship Id="rId19" Type="http://schemas.openxmlformats.org/officeDocument/2006/relationships/hyperlink" Target="mailto:robin0228@gmail.com" TargetMode="External"/><Relationship Id="rId31" Type="http://schemas.openxmlformats.org/officeDocument/2006/relationships/hyperlink" Target="mailto:jandressiabato@gmail.com" TargetMode="External"/><Relationship Id="rId4" Type="http://schemas.openxmlformats.org/officeDocument/2006/relationships/hyperlink" Target="mailto:alex11caldas@gmail.com" TargetMode="External"/><Relationship Id="rId9" Type="http://schemas.openxmlformats.org/officeDocument/2006/relationships/hyperlink" Target="mailto:joanrodas2013@gmail.com" TargetMode="External"/><Relationship Id="rId14" Type="http://schemas.openxmlformats.org/officeDocument/2006/relationships/hyperlink" Target="mailto:juanju9069@gmail.com" TargetMode="External"/><Relationship Id="rId22" Type="http://schemas.openxmlformats.org/officeDocument/2006/relationships/hyperlink" Target="mailto:oscaralexanderhernandezmontoya@gmail.com" TargetMode="External"/><Relationship Id="rId27" Type="http://schemas.openxmlformats.org/officeDocument/2006/relationships/hyperlink" Target="mailto:sergioms_07@hotmail.com" TargetMode="External"/><Relationship Id="rId30" Type="http://schemas.openxmlformats.org/officeDocument/2006/relationships/hyperlink" Target="mailto:frandu11@hotmail.com" TargetMode="External"/><Relationship Id="rId8" Type="http://schemas.openxmlformats.org/officeDocument/2006/relationships/hyperlink" Target="mailto:juansierrac927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A1:K53"/>
  <sheetViews>
    <sheetView showGridLines="0" tabSelected="1" workbookViewId="0">
      <pane ySplit="5" topLeftCell="A6" activePane="bottomLeft" state="frozen"/>
      <selection pane="bottomLeft" sqref="A1:K3"/>
    </sheetView>
  </sheetViews>
  <sheetFormatPr baseColWidth="10" defaultRowHeight="15" x14ac:dyDescent="0.25"/>
  <cols>
    <col min="1" max="1" width="5.7109375" style="24" customWidth="1"/>
    <col min="2" max="2" width="26.85546875" style="10" bestFit="1" customWidth="1"/>
    <col min="3" max="3" width="44.85546875" style="11" bestFit="1" customWidth="1"/>
    <col min="4" max="4" width="12.28515625" style="11" bestFit="1" customWidth="1"/>
    <col min="5" max="5" width="4.7109375" style="11" bestFit="1" customWidth="1"/>
    <col min="6" max="6" width="9.28515625" style="11" bestFit="1" customWidth="1"/>
    <col min="7" max="7" width="10.140625" style="11" bestFit="1" customWidth="1"/>
    <col min="8" max="8" width="43.5703125" style="9" bestFit="1" customWidth="1"/>
    <col min="9" max="9" width="38" style="207" customWidth="1"/>
    <col min="10" max="10" width="13.42578125" style="9" bestFit="1" customWidth="1"/>
    <col min="11" max="16384" width="11.42578125" style="9"/>
  </cols>
  <sheetData>
    <row r="1" spans="1:11" ht="15" customHeight="1" x14ac:dyDescent="0.25">
      <c r="A1" s="241" t="s">
        <v>177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</row>
    <row r="2" spans="1:11" ht="15" customHeight="1" x14ac:dyDescent="0.25">
      <c r="A2" s="241"/>
      <c r="B2" s="241"/>
      <c r="C2" s="241"/>
      <c r="D2" s="241"/>
      <c r="E2" s="241"/>
      <c r="F2" s="241"/>
      <c r="G2" s="241"/>
      <c r="H2" s="241"/>
      <c r="I2" s="241"/>
      <c r="J2" s="241"/>
      <c r="K2" s="241"/>
    </row>
    <row r="3" spans="1:11" ht="15" customHeight="1" x14ac:dyDescent="0.25">
      <c r="A3" s="241"/>
      <c r="B3" s="241"/>
      <c r="C3" s="241"/>
      <c r="D3" s="241"/>
      <c r="E3" s="241"/>
      <c r="F3" s="241"/>
      <c r="G3" s="241"/>
      <c r="H3" s="241"/>
      <c r="I3" s="241"/>
      <c r="J3" s="241"/>
      <c r="K3" s="241"/>
    </row>
    <row r="5" spans="1:11" x14ac:dyDescent="0.25">
      <c r="A5" s="23" t="s">
        <v>37</v>
      </c>
      <c r="B5" s="13" t="s">
        <v>71</v>
      </c>
      <c r="C5" s="14" t="s">
        <v>16</v>
      </c>
      <c r="D5" s="14" t="s">
        <v>72</v>
      </c>
      <c r="E5" s="14" t="s">
        <v>17</v>
      </c>
      <c r="F5" s="14" t="s">
        <v>70</v>
      </c>
      <c r="G5" s="14" t="s">
        <v>73</v>
      </c>
      <c r="H5" s="14" t="s">
        <v>74</v>
      </c>
      <c r="I5" s="212" t="s">
        <v>160</v>
      </c>
      <c r="J5" s="14" t="s">
        <v>75</v>
      </c>
      <c r="K5" s="14" t="s">
        <v>76</v>
      </c>
    </row>
    <row r="6" spans="1:11" x14ac:dyDescent="0.25">
      <c r="A6" s="193">
        <v>1</v>
      </c>
      <c r="B6" s="25" t="s">
        <v>135</v>
      </c>
      <c r="C6" s="219" t="s">
        <v>134</v>
      </c>
      <c r="D6" s="15"/>
      <c r="E6" s="26"/>
      <c r="F6" s="26"/>
      <c r="G6" s="26"/>
      <c r="H6" s="208" t="s">
        <v>345</v>
      </c>
      <c r="I6" s="213"/>
      <c r="J6" s="210"/>
      <c r="K6" s="27"/>
    </row>
    <row r="7" spans="1:11" x14ac:dyDescent="0.25">
      <c r="A7" s="194">
        <v>2</v>
      </c>
      <c r="B7" s="25" t="s">
        <v>133</v>
      </c>
      <c r="C7" s="218" t="s">
        <v>136</v>
      </c>
      <c r="D7" s="15"/>
      <c r="E7" s="15"/>
      <c r="F7" s="15"/>
      <c r="G7" s="15"/>
      <c r="H7" s="208" t="s">
        <v>337</v>
      </c>
      <c r="I7" s="213"/>
      <c r="J7" s="210"/>
      <c r="K7" s="27"/>
    </row>
    <row r="8" spans="1:11" x14ac:dyDescent="0.25">
      <c r="A8" s="193">
        <v>3</v>
      </c>
      <c r="B8" s="28" t="s">
        <v>226</v>
      </c>
      <c r="C8" s="29" t="s">
        <v>227</v>
      </c>
      <c r="D8" s="29"/>
      <c r="E8" s="29"/>
      <c r="F8" s="29"/>
      <c r="G8" s="29"/>
      <c r="H8" s="209"/>
      <c r="I8" s="213"/>
      <c r="J8" s="211"/>
      <c r="K8" s="30"/>
    </row>
    <row r="9" spans="1:11" x14ac:dyDescent="0.25">
      <c r="A9" s="194">
        <v>4</v>
      </c>
      <c r="B9" s="28" t="s">
        <v>248</v>
      </c>
      <c r="C9" s="216" t="s">
        <v>249</v>
      </c>
      <c r="D9" s="29" t="s">
        <v>250</v>
      </c>
      <c r="E9" s="29"/>
      <c r="F9" s="29"/>
      <c r="G9" s="29"/>
      <c r="H9" s="209" t="s">
        <v>333</v>
      </c>
      <c r="I9" s="213"/>
      <c r="J9" s="211"/>
      <c r="K9" s="30"/>
    </row>
    <row r="10" spans="1:11" x14ac:dyDescent="0.25">
      <c r="A10" s="193">
        <v>5</v>
      </c>
      <c r="B10" s="28" t="s">
        <v>158</v>
      </c>
      <c r="C10" s="217" t="s">
        <v>217</v>
      </c>
      <c r="D10" s="29" t="s">
        <v>159</v>
      </c>
      <c r="E10" s="29"/>
      <c r="F10" s="29"/>
      <c r="G10" s="29"/>
      <c r="H10" s="209" t="s">
        <v>346</v>
      </c>
      <c r="I10" s="213"/>
      <c r="J10" s="211"/>
      <c r="K10" s="30"/>
    </row>
    <row r="11" spans="1:11" x14ac:dyDescent="0.25">
      <c r="A11" s="194">
        <v>6</v>
      </c>
      <c r="B11" s="28" t="s">
        <v>139</v>
      </c>
      <c r="C11" s="214" t="s">
        <v>176</v>
      </c>
      <c r="D11" s="29"/>
      <c r="E11" s="29"/>
      <c r="F11" s="29"/>
      <c r="G11" s="29"/>
      <c r="H11" s="209" t="s">
        <v>324</v>
      </c>
      <c r="I11" s="213"/>
      <c r="J11" s="211"/>
      <c r="K11" s="30"/>
    </row>
    <row r="12" spans="1:11" x14ac:dyDescent="0.25">
      <c r="A12" s="193">
        <v>7</v>
      </c>
      <c r="B12" s="28" t="s">
        <v>236</v>
      </c>
      <c r="C12" s="215" t="s">
        <v>237</v>
      </c>
      <c r="D12" s="29"/>
      <c r="E12" s="29"/>
      <c r="F12" s="29"/>
      <c r="G12" s="29"/>
      <c r="H12" s="209" t="s">
        <v>341</v>
      </c>
      <c r="I12" s="213"/>
      <c r="J12" s="211"/>
      <c r="K12" s="30"/>
    </row>
    <row r="13" spans="1:11" x14ac:dyDescent="0.25">
      <c r="A13" s="194">
        <v>8</v>
      </c>
      <c r="B13" s="28" t="s">
        <v>161</v>
      </c>
      <c r="C13" s="215" t="s">
        <v>162</v>
      </c>
      <c r="D13" s="29" t="s">
        <v>163</v>
      </c>
      <c r="E13" s="29"/>
      <c r="F13" s="29"/>
      <c r="G13" s="29"/>
      <c r="H13" s="209" t="s">
        <v>319</v>
      </c>
      <c r="I13" s="213"/>
      <c r="J13" s="211"/>
      <c r="K13" s="30"/>
    </row>
    <row r="14" spans="1:11" x14ac:dyDescent="0.25">
      <c r="A14" s="193">
        <v>9</v>
      </c>
      <c r="B14" s="28" t="s">
        <v>245</v>
      </c>
      <c r="C14" s="29" t="s">
        <v>175</v>
      </c>
      <c r="D14" s="29"/>
      <c r="E14" s="29"/>
      <c r="F14" s="29"/>
      <c r="G14" s="29"/>
      <c r="H14" s="209"/>
      <c r="I14" s="213"/>
      <c r="J14" s="211"/>
      <c r="K14" s="30"/>
    </row>
    <row r="15" spans="1:11" x14ac:dyDescent="0.25">
      <c r="A15" s="194">
        <v>10</v>
      </c>
      <c r="B15" s="28" t="s">
        <v>312</v>
      </c>
      <c r="C15" s="215" t="s">
        <v>313</v>
      </c>
      <c r="D15" s="29"/>
      <c r="E15" s="29"/>
      <c r="F15" s="29"/>
      <c r="G15" s="29"/>
      <c r="H15" s="209"/>
      <c r="I15" s="213"/>
      <c r="J15" s="211"/>
      <c r="K15" s="30"/>
    </row>
    <row r="16" spans="1:11" x14ac:dyDescent="0.25">
      <c r="A16" s="193">
        <v>11</v>
      </c>
      <c r="B16" s="28" t="s">
        <v>147</v>
      </c>
      <c r="C16" s="214" t="s">
        <v>148</v>
      </c>
      <c r="D16" s="29" t="s">
        <v>149</v>
      </c>
      <c r="E16" s="29"/>
      <c r="F16" s="29"/>
      <c r="G16" s="29"/>
      <c r="H16" s="209" t="s">
        <v>329</v>
      </c>
      <c r="I16" s="213"/>
      <c r="J16" s="211"/>
      <c r="K16" s="30"/>
    </row>
    <row r="17" spans="1:11" x14ac:dyDescent="0.25">
      <c r="A17" s="194">
        <v>12</v>
      </c>
      <c r="B17" s="28" t="s">
        <v>203</v>
      </c>
      <c r="C17" s="216" t="s">
        <v>204</v>
      </c>
      <c r="D17" s="29" t="s">
        <v>205</v>
      </c>
      <c r="E17" s="29"/>
      <c r="F17" s="29"/>
      <c r="G17" s="29"/>
      <c r="H17" s="209" t="s">
        <v>315</v>
      </c>
      <c r="I17" s="213"/>
      <c r="J17" s="211"/>
      <c r="K17" s="30"/>
    </row>
    <row r="18" spans="1:11" x14ac:dyDescent="0.25">
      <c r="A18" s="193">
        <v>13</v>
      </c>
      <c r="B18" s="28" t="s">
        <v>298</v>
      </c>
      <c r="C18" s="29" t="s">
        <v>297</v>
      </c>
      <c r="D18" s="29" t="s">
        <v>299</v>
      </c>
      <c r="E18" s="29"/>
      <c r="F18" s="29"/>
      <c r="G18" s="29"/>
      <c r="H18" s="209"/>
      <c r="I18" s="213"/>
      <c r="J18" s="211"/>
      <c r="K18" s="30"/>
    </row>
    <row r="19" spans="1:11" x14ac:dyDescent="0.25">
      <c r="A19" s="194">
        <v>14</v>
      </c>
      <c r="B19" s="28" t="s">
        <v>144</v>
      </c>
      <c r="C19" s="216" t="s">
        <v>145</v>
      </c>
      <c r="D19" s="29" t="s">
        <v>146</v>
      </c>
      <c r="E19" s="29"/>
      <c r="F19" s="29"/>
      <c r="G19" s="29"/>
      <c r="H19" s="209" t="s">
        <v>323</v>
      </c>
      <c r="I19" s="213"/>
      <c r="J19" s="211"/>
      <c r="K19" s="30"/>
    </row>
    <row r="20" spans="1:11" x14ac:dyDescent="0.25">
      <c r="A20" s="193">
        <v>15</v>
      </c>
      <c r="B20" s="28" t="s">
        <v>164</v>
      </c>
      <c r="C20" s="217" t="s">
        <v>165</v>
      </c>
      <c r="D20" s="29" t="s">
        <v>166</v>
      </c>
      <c r="E20" s="29"/>
      <c r="F20" s="29"/>
      <c r="G20" s="29"/>
      <c r="H20" s="209" t="s">
        <v>327</v>
      </c>
      <c r="I20" s="213"/>
      <c r="J20" s="211"/>
      <c r="K20" s="30"/>
    </row>
    <row r="21" spans="1:11" x14ac:dyDescent="0.25">
      <c r="A21" s="194">
        <v>16</v>
      </c>
      <c r="B21" s="28" t="s">
        <v>170</v>
      </c>
      <c r="C21" s="214" t="s">
        <v>171</v>
      </c>
      <c r="D21" s="29" t="s">
        <v>172</v>
      </c>
      <c r="E21" s="29"/>
      <c r="F21" s="29"/>
      <c r="G21" s="29"/>
      <c r="H21" s="209" t="s">
        <v>336</v>
      </c>
      <c r="I21" s="213"/>
      <c r="J21" s="211"/>
      <c r="K21" s="30"/>
    </row>
    <row r="22" spans="1:11" x14ac:dyDescent="0.25">
      <c r="A22" s="193">
        <v>17</v>
      </c>
      <c r="B22" s="28" t="s">
        <v>207</v>
      </c>
      <c r="C22" s="29" t="s">
        <v>208</v>
      </c>
      <c r="D22" s="29" t="s">
        <v>209</v>
      </c>
      <c r="E22" s="29"/>
      <c r="F22" s="29"/>
      <c r="G22" s="29"/>
      <c r="H22" s="209" t="s">
        <v>342</v>
      </c>
      <c r="I22" s="213"/>
      <c r="J22" s="211"/>
      <c r="K22" s="30"/>
    </row>
    <row r="23" spans="1:11" x14ac:dyDescent="0.25">
      <c r="A23" s="194">
        <v>18</v>
      </c>
      <c r="B23" s="28" t="s">
        <v>140</v>
      </c>
      <c r="C23" s="215" t="s">
        <v>102</v>
      </c>
      <c r="D23" s="29"/>
      <c r="E23" s="29"/>
      <c r="F23" s="29"/>
      <c r="G23" s="29"/>
      <c r="H23" s="209" t="s">
        <v>340</v>
      </c>
      <c r="I23" s="213"/>
      <c r="J23" s="211"/>
      <c r="K23" s="30"/>
    </row>
    <row r="24" spans="1:11" x14ac:dyDescent="0.25">
      <c r="A24" s="193">
        <v>19</v>
      </c>
      <c r="B24" s="28" t="s">
        <v>228</v>
      </c>
      <c r="C24" s="216" t="s">
        <v>310</v>
      </c>
      <c r="D24" s="29"/>
      <c r="E24" s="29"/>
      <c r="F24" s="29"/>
      <c r="G24" s="29"/>
      <c r="H24" s="209" t="s">
        <v>321</v>
      </c>
      <c r="I24" s="213"/>
      <c r="J24" s="211"/>
      <c r="K24" s="30"/>
    </row>
    <row r="25" spans="1:11" x14ac:dyDescent="0.25">
      <c r="A25" s="194">
        <v>20</v>
      </c>
      <c r="B25" s="28" t="s">
        <v>221</v>
      </c>
      <c r="C25" s="29" t="s">
        <v>103</v>
      </c>
      <c r="D25" s="29"/>
      <c r="E25" s="29"/>
      <c r="F25" s="29"/>
      <c r="G25" s="29"/>
      <c r="H25" s="209" t="s">
        <v>314</v>
      </c>
      <c r="I25" s="213"/>
      <c r="J25" s="211"/>
      <c r="K25" s="30"/>
    </row>
    <row r="26" spans="1:11" x14ac:dyDescent="0.25">
      <c r="A26" s="193">
        <v>21</v>
      </c>
      <c r="B26" s="28" t="s">
        <v>152</v>
      </c>
      <c r="C26" s="216" t="s">
        <v>153</v>
      </c>
      <c r="D26" s="29" t="s">
        <v>154</v>
      </c>
      <c r="E26" s="29"/>
      <c r="F26" s="29"/>
      <c r="G26" s="29"/>
      <c r="H26" s="209"/>
      <c r="I26" s="213"/>
      <c r="J26" s="211"/>
      <c r="K26" s="30"/>
    </row>
    <row r="27" spans="1:11" x14ac:dyDescent="0.25">
      <c r="A27" s="194">
        <v>22</v>
      </c>
      <c r="B27" s="28" t="s">
        <v>238</v>
      </c>
      <c r="C27" s="214" t="s">
        <v>239</v>
      </c>
      <c r="D27" s="29" t="s">
        <v>240</v>
      </c>
      <c r="E27" s="29"/>
      <c r="F27" s="29"/>
      <c r="G27" s="29"/>
      <c r="H27" s="209" t="s">
        <v>339</v>
      </c>
      <c r="I27" s="213"/>
      <c r="J27" s="211"/>
      <c r="K27" s="30"/>
    </row>
    <row r="28" spans="1:11" x14ac:dyDescent="0.25">
      <c r="A28" s="193">
        <v>23</v>
      </c>
      <c r="B28" s="28" t="s">
        <v>179</v>
      </c>
      <c r="C28" s="217" t="s">
        <v>206</v>
      </c>
      <c r="D28" s="29" t="s">
        <v>178</v>
      </c>
      <c r="E28" s="29"/>
      <c r="F28" s="29"/>
      <c r="G28" s="29"/>
      <c r="H28" s="209" t="s">
        <v>317</v>
      </c>
      <c r="I28" s="213"/>
      <c r="J28" s="211"/>
      <c r="K28" s="30"/>
    </row>
    <row r="29" spans="1:11" x14ac:dyDescent="0.25">
      <c r="A29" s="194">
        <v>24</v>
      </c>
      <c r="B29" s="28" t="s">
        <v>150</v>
      </c>
      <c r="C29" s="215" t="s">
        <v>213</v>
      </c>
      <c r="D29" s="29" t="s">
        <v>151</v>
      </c>
      <c r="E29" s="29"/>
      <c r="F29" s="29"/>
      <c r="G29" s="29"/>
      <c r="H29" s="209"/>
      <c r="I29" s="213"/>
      <c r="J29" s="211"/>
      <c r="K29" s="30"/>
    </row>
    <row r="30" spans="1:11" x14ac:dyDescent="0.25">
      <c r="A30" s="193">
        <v>25</v>
      </c>
      <c r="B30" s="28" t="s">
        <v>212</v>
      </c>
      <c r="C30" s="217" t="s">
        <v>174</v>
      </c>
      <c r="D30" s="29"/>
      <c r="E30" s="29"/>
      <c r="F30" s="29"/>
      <c r="G30" s="29"/>
      <c r="H30" s="209" t="s">
        <v>343</v>
      </c>
      <c r="I30" s="213"/>
      <c r="J30" s="211"/>
      <c r="K30" s="30"/>
    </row>
    <row r="31" spans="1:11" x14ac:dyDescent="0.25">
      <c r="A31" s="194">
        <v>26</v>
      </c>
      <c r="B31" s="28" t="s">
        <v>167</v>
      </c>
      <c r="C31" s="216" t="s">
        <v>168</v>
      </c>
      <c r="D31" s="29" t="s">
        <v>169</v>
      </c>
      <c r="E31" s="29"/>
      <c r="F31" s="29"/>
      <c r="G31" s="29"/>
      <c r="H31" s="209" t="s">
        <v>318</v>
      </c>
      <c r="I31" s="213"/>
      <c r="J31" s="211"/>
      <c r="K31" s="30"/>
    </row>
    <row r="32" spans="1:11" x14ac:dyDescent="0.25">
      <c r="A32" s="193">
        <v>27</v>
      </c>
      <c r="B32" s="28" t="s">
        <v>218</v>
      </c>
      <c r="C32" s="215" t="s">
        <v>219</v>
      </c>
      <c r="D32" s="29" t="s">
        <v>220</v>
      </c>
      <c r="E32" s="29"/>
      <c r="F32" s="29"/>
      <c r="G32" s="29"/>
      <c r="H32" s="209" t="s">
        <v>328</v>
      </c>
      <c r="I32" s="213"/>
      <c r="J32" s="211"/>
      <c r="K32" s="30"/>
    </row>
    <row r="33" spans="1:11" x14ac:dyDescent="0.25">
      <c r="A33" s="194">
        <v>28</v>
      </c>
      <c r="B33" s="28" t="s">
        <v>224</v>
      </c>
      <c r="C33" s="29" t="s">
        <v>225</v>
      </c>
      <c r="D33" s="29" t="s">
        <v>334</v>
      </c>
      <c r="E33" s="29"/>
      <c r="F33" s="29"/>
      <c r="G33" s="29"/>
      <c r="H33" s="209" t="s">
        <v>335</v>
      </c>
      <c r="I33" s="213"/>
      <c r="J33" s="211"/>
      <c r="K33" s="30"/>
    </row>
    <row r="34" spans="1:11" x14ac:dyDescent="0.25">
      <c r="A34" s="193">
        <v>29</v>
      </c>
      <c r="B34" s="28" t="s">
        <v>214</v>
      </c>
      <c r="C34" s="214" t="s">
        <v>215</v>
      </c>
      <c r="D34" s="29" t="s">
        <v>216</v>
      </c>
      <c r="E34" s="29"/>
      <c r="F34" s="29"/>
      <c r="G34" s="29"/>
      <c r="H34" s="209" t="s">
        <v>338</v>
      </c>
      <c r="I34" s="213"/>
      <c r="J34" s="211"/>
      <c r="K34" s="30"/>
    </row>
    <row r="35" spans="1:11" x14ac:dyDescent="0.25">
      <c r="A35" s="194">
        <v>30</v>
      </c>
      <c r="B35" s="28" t="s">
        <v>294</v>
      </c>
      <c r="C35" s="215" t="s">
        <v>295</v>
      </c>
      <c r="D35" s="29" t="s">
        <v>296</v>
      </c>
      <c r="E35" s="29"/>
      <c r="F35" s="29"/>
      <c r="G35" s="29"/>
      <c r="H35" s="209" t="s">
        <v>330</v>
      </c>
      <c r="I35" s="213"/>
      <c r="J35" s="211"/>
      <c r="K35" s="30"/>
    </row>
    <row r="36" spans="1:11" x14ac:dyDescent="0.25">
      <c r="A36" s="193">
        <v>31</v>
      </c>
      <c r="B36" s="28" t="s">
        <v>141</v>
      </c>
      <c r="C36" s="217" t="s">
        <v>142</v>
      </c>
      <c r="D36" s="29" t="s">
        <v>143</v>
      </c>
      <c r="E36" s="29"/>
      <c r="F36" s="29"/>
      <c r="G36" s="29"/>
      <c r="H36" s="209" t="s">
        <v>322</v>
      </c>
      <c r="I36" s="213"/>
      <c r="J36" s="211"/>
      <c r="K36" s="30"/>
    </row>
    <row r="37" spans="1:11" x14ac:dyDescent="0.25">
      <c r="A37" s="194">
        <v>32</v>
      </c>
      <c r="B37" s="28" t="s">
        <v>137</v>
      </c>
      <c r="C37" s="214" t="s">
        <v>138</v>
      </c>
      <c r="D37" s="29"/>
      <c r="E37" s="29"/>
      <c r="F37" s="29"/>
      <c r="G37" s="29"/>
      <c r="H37" s="209" t="s">
        <v>332</v>
      </c>
      <c r="I37" s="213"/>
      <c r="J37" s="211"/>
      <c r="K37" s="30"/>
    </row>
    <row r="38" spans="1:11" x14ac:dyDescent="0.25">
      <c r="A38" s="193">
        <v>33</v>
      </c>
      <c r="B38" s="28" t="s">
        <v>210</v>
      </c>
      <c r="C38" s="215" t="s">
        <v>234</v>
      </c>
      <c r="D38" s="29" t="s">
        <v>211</v>
      </c>
      <c r="E38" s="29"/>
      <c r="F38" s="29"/>
      <c r="G38" s="29"/>
      <c r="H38" s="209" t="s">
        <v>331</v>
      </c>
      <c r="I38" s="213"/>
      <c r="J38" s="211"/>
      <c r="K38" s="30"/>
    </row>
    <row r="39" spans="1:11" x14ac:dyDescent="0.25">
      <c r="A39" s="194">
        <v>34</v>
      </c>
      <c r="B39" s="28" t="s">
        <v>244</v>
      </c>
      <c r="C39" s="216" t="s">
        <v>173</v>
      </c>
      <c r="D39" s="29" t="s">
        <v>325</v>
      </c>
      <c r="E39" s="29"/>
      <c r="F39" s="29"/>
      <c r="G39" s="29"/>
      <c r="H39" s="209" t="s">
        <v>326</v>
      </c>
      <c r="I39" s="213"/>
      <c r="J39" s="211"/>
      <c r="K39" s="30"/>
    </row>
    <row r="40" spans="1:11" x14ac:dyDescent="0.25">
      <c r="A40" s="193">
        <v>35</v>
      </c>
      <c r="B40" s="28" t="s">
        <v>155</v>
      </c>
      <c r="C40" s="215" t="s">
        <v>156</v>
      </c>
      <c r="D40" s="29" t="s">
        <v>157</v>
      </c>
      <c r="E40" s="29"/>
      <c r="F40" s="29"/>
      <c r="G40" s="29"/>
      <c r="H40" s="209" t="s">
        <v>316</v>
      </c>
      <c r="I40" s="213"/>
      <c r="J40" s="211"/>
      <c r="K40" s="30"/>
    </row>
    <row r="41" spans="1:11" x14ac:dyDescent="0.25">
      <c r="A41" s="194">
        <v>36</v>
      </c>
      <c r="B41" s="28" t="s">
        <v>223</v>
      </c>
      <c r="C41" s="214" t="s">
        <v>222</v>
      </c>
      <c r="D41" s="29"/>
      <c r="E41" s="29"/>
      <c r="F41" s="29"/>
      <c r="G41" s="29"/>
      <c r="H41" s="209" t="s">
        <v>320</v>
      </c>
      <c r="I41" s="213"/>
      <c r="J41" s="211"/>
      <c r="K41" s="30"/>
    </row>
    <row r="42" spans="1:11" x14ac:dyDescent="0.25">
      <c r="A42" s="193">
        <v>37</v>
      </c>
      <c r="B42" s="28" t="s">
        <v>241</v>
      </c>
      <c r="C42" s="214" t="s">
        <v>243</v>
      </c>
      <c r="D42" s="29" t="s">
        <v>242</v>
      </c>
      <c r="E42" s="29"/>
      <c r="F42" s="29"/>
      <c r="G42" s="29"/>
      <c r="H42" s="209" t="s">
        <v>347</v>
      </c>
      <c r="I42" s="213"/>
      <c r="J42" s="211"/>
      <c r="K42" s="30"/>
    </row>
    <row r="43" spans="1:11" x14ac:dyDescent="0.25">
      <c r="A43" s="194">
        <v>38</v>
      </c>
      <c r="B43" s="28"/>
      <c r="C43" s="29"/>
      <c r="D43" s="29"/>
      <c r="E43" s="29"/>
      <c r="F43" s="29"/>
      <c r="G43" s="29"/>
      <c r="H43" s="209"/>
      <c r="I43" s="213"/>
      <c r="J43" s="211"/>
      <c r="K43" s="30"/>
    </row>
    <row r="44" spans="1:11" x14ac:dyDescent="0.25">
      <c r="A44" s="193">
        <v>39</v>
      </c>
      <c r="B44" s="28"/>
      <c r="C44" s="29"/>
      <c r="D44" s="29"/>
      <c r="E44" s="29"/>
      <c r="F44" s="29"/>
      <c r="G44" s="29"/>
      <c r="H44" s="209"/>
      <c r="I44" s="213"/>
      <c r="J44" s="211"/>
      <c r="K44" s="30"/>
    </row>
    <row r="45" spans="1:11" x14ac:dyDescent="0.25">
      <c r="A45" s="194">
        <v>40</v>
      </c>
      <c r="B45" s="28"/>
      <c r="C45" s="29"/>
      <c r="D45" s="29"/>
      <c r="E45" s="29"/>
      <c r="F45" s="29"/>
      <c r="G45" s="29"/>
      <c r="H45" s="209"/>
      <c r="I45" s="213"/>
      <c r="J45" s="211"/>
      <c r="K45" s="30"/>
    </row>
    <row r="46" spans="1:11" x14ac:dyDescent="0.25">
      <c r="A46" s="193">
        <v>41</v>
      </c>
      <c r="B46" s="28"/>
      <c r="C46" s="29"/>
      <c r="D46" s="29"/>
      <c r="E46" s="29"/>
      <c r="F46" s="29"/>
      <c r="G46" s="29"/>
      <c r="H46" s="209"/>
      <c r="I46" s="213"/>
      <c r="J46" s="211"/>
      <c r="K46" s="30"/>
    </row>
    <row r="47" spans="1:11" x14ac:dyDescent="0.25">
      <c r="A47" s="194">
        <v>42</v>
      </c>
      <c r="B47" s="28"/>
      <c r="C47" s="29"/>
      <c r="D47" s="29"/>
      <c r="E47" s="29"/>
      <c r="F47" s="29"/>
      <c r="G47" s="29"/>
      <c r="H47" s="209"/>
      <c r="I47" s="213"/>
      <c r="J47" s="211"/>
      <c r="K47" s="30"/>
    </row>
    <row r="48" spans="1:11" x14ac:dyDescent="0.25">
      <c r="A48" s="193">
        <v>43</v>
      </c>
      <c r="B48" s="28"/>
      <c r="C48" s="29"/>
      <c r="D48" s="29"/>
      <c r="E48" s="29"/>
      <c r="F48" s="29"/>
      <c r="G48" s="29"/>
      <c r="H48" s="209"/>
      <c r="I48" s="213"/>
      <c r="J48" s="211"/>
      <c r="K48" s="30"/>
    </row>
    <row r="49" spans="1:11" x14ac:dyDescent="0.25">
      <c r="A49" s="194">
        <v>44</v>
      </c>
      <c r="B49" s="28"/>
      <c r="C49" s="29"/>
      <c r="D49" s="29"/>
      <c r="E49" s="29"/>
      <c r="F49" s="29"/>
      <c r="G49" s="29"/>
      <c r="H49" s="209"/>
      <c r="I49" s="213"/>
      <c r="J49" s="211"/>
      <c r="K49" s="30"/>
    </row>
    <row r="50" spans="1:11" x14ac:dyDescent="0.25">
      <c r="A50" s="193">
        <v>45</v>
      </c>
      <c r="B50" s="28"/>
      <c r="C50" s="29"/>
      <c r="D50" s="29"/>
      <c r="E50" s="29"/>
      <c r="F50" s="29"/>
      <c r="G50" s="29"/>
      <c r="H50" s="209"/>
      <c r="I50" s="213"/>
      <c r="J50" s="211"/>
      <c r="K50" s="30"/>
    </row>
    <row r="51" spans="1:11" x14ac:dyDescent="0.25">
      <c r="A51" s="194">
        <v>46</v>
      </c>
      <c r="B51" s="28"/>
      <c r="C51" s="29"/>
      <c r="D51" s="29"/>
      <c r="E51" s="29"/>
      <c r="F51" s="29"/>
      <c r="G51" s="29"/>
      <c r="H51" s="209"/>
      <c r="I51" s="213"/>
      <c r="J51" s="211"/>
      <c r="K51" s="30"/>
    </row>
    <row r="52" spans="1:11" x14ac:dyDescent="0.25">
      <c r="A52" s="193">
        <v>47</v>
      </c>
      <c r="B52" s="28"/>
      <c r="C52" s="29"/>
      <c r="D52" s="29"/>
      <c r="E52" s="29"/>
      <c r="F52" s="29"/>
      <c r="G52" s="29"/>
      <c r="H52" s="209"/>
      <c r="I52" s="213"/>
      <c r="J52" s="211"/>
      <c r="K52" s="30"/>
    </row>
    <row r="53" spans="1:11" x14ac:dyDescent="0.25">
      <c r="A53" s="194">
        <v>48</v>
      </c>
      <c r="B53" s="28"/>
      <c r="C53" s="29"/>
      <c r="D53" s="29"/>
      <c r="E53" s="29"/>
      <c r="F53" s="29"/>
      <c r="G53" s="29"/>
      <c r="H53" s="209"/>
      <c r="I53" s="213"/>
      <c r="J53" s="211"/>
      <c r="K53" s="30"/>
    </row>
  </sheetData>
  <protectedRanges>
    <protectedRange sqref="A6:J6 J7 A8 A10 A12 A14 A16 A18 A20 A22 A24 A26 A28 A30 A32 A34 A36 A38 A40 A42 A44 A46 A48 A50 A52" name="Rango1"/>
  </protectedRanges>
  <mergeCells count="1">
    <mergeCell ref="A1:K3"/>
  </mergeCells>
  <phoneticPr fontId="21" type="noConversion"/>
  <hyperlinks>
    <hyperlink ref="H25" r:id="rId1" xr:uid="{FDC3B576-5686-463A-9D1C-3C5232F7B54E}"/>
    <hyperlink ref="H17" r:id="rId2" xr:uid="{462F33EE-B47E-4405-AA03-CC5B863A7ECB}"/>
    <hyperlink ref="H40" r:id="rId3" xr:uid="{CF0CC6D6-1E4E-4E69-BE5A-AF946AFA1906}"/>
    <hyperlink ref="H28" r:id="rId4" xr:uid="{196E3B2F-5B36-4298-9B40-D627D85F39C1}"/>
    <hyperlink ref="H31" r:id="rId5" xr:uid="{BC10D41C-5E56-4AA9-B71D-5D248FB11505}"/>
    <hyperlink ref="H13" r:id="rId6" xr:uid="{63954FA5-0610-42AA-820E-1B1C5583618A}"/>
    <hyperlink ref="H41" r:id="rId7" xr:uid="{795F7F2B-4FA5-4DFB-B9BC-BE3C808EECAA}"/>
    <hyperlink ref="H24" r:id="rId8" xr:uid="{C06A96F1-B27F-4ABD-A9E3-79B1B1D558C1}"/>
    <hyperlink ref="H36" r:id="rId9" xr:uid="{570938A0-877E-43BF-9D1E-A19CBC5F17A5}"/>
    <hyperlink ref="H19" r:id="rId10" xr:uid="{3E980D30-D59E-4D99-900A-20A2ED16C44F}"/>
    <hyperlink ref="H11" r:id="rId11" xr:uid="{6F235DE1-F054-4B2B-B0C7-E2CCD0C76748}"/>
    <hyperlink ref="H39" r:id="rId12" xr:uid="{BCAC1C8E-0201-4558-B745-11952E852A36}"/>
    <hyperlink ref="H20" r:id="rId13" xr:uid="{53099514-F48F-4832-93A8-FAD41EA2AEA1}"/>
    <hyperlink ref="H32" r:id="rId14" xr:uid="{9A414A3B-D3C2-4E23-B8E3-8E939A2D01B5}"/>
    <hyperlink ref="H16" r:id="rId15" xr:uid="{242EF18D-B9F5-4E07-821C-9795A3A3FCE5}"/>
    <hyperlink ref="H35" r:id="rId16" xr:uid="{EE36D907-F3A3-4A83-A575-9BBF264A2AC5}"/>
    <hyperlink ref="H38" r:id="rId17" xr:uid="{B9EBA393-44B7-409C-8774-8BBC0CBF2C9C}"/>
    <hyperlink ref="H37" r:id="rId18" xr:uid="{4A961E0E-989D-44B5-9F9F-09878249275A}"/>
    <hyperlink ref="H9" r:id="rId19" xr:uid="{14A9384D-75E9-4F1F-82FA-DFDCA110942D}"/>
    <hyperlink ref="H33" r:id="rId20" xr:uid="{399624E6-A035-49B6-957C-669107CA0277}"/>
    <hyperlink ref="H21" r:id="rId21" xr:uid="{82D035B9-7BC6-4D35-8AA3-3385D60B2246}"/>
    <hyperlink ref="H7" r:id="rId22" xr:uid="{680C4496-1496-40E1-933A-2EECDE72A28B}"/>
    <hyperlink ref="H34" r:id="rId23" xr:uid="{ABC41196-2D9C-4360-84D3-507CC3D1C050}"/>
    <hyperlink ref="H27" r:id="rId24" xr:uid="{B08C877A-58C1-4F56-85C8-C512102A7A29}"/>
    <hyperlink ref="H23" r:id="rId25" xr:uid="{4E3D2B05-8983-4CF7-BE6F-A1D81D4F8328}"/>
    <hyperlink ref="H12" r:id="rId26" xr:uid="{6567F763-48B3-42D3-A377-24502FA01D72}"/>
    <hyperlink ref="H22" r:id="rId27" xr:uid="{E8CC77A3-A9CA-4B3F-8222-485FB728E3B9}"/>
    <hyperlink ref="H30" r:id="rId28" xr:uid="{14F33D9E-28E0-45E9-8B05-1A39A5F1CC9E}"/>
    <hyperlink ref="H6" r:id="rId29" xr:uid="{EC2E1558-EA5C-4C00-8772-AB45DB5968CD}"/>
    <hyperlink ref="H10" r:id="rId30" xr:uid="{67C739C4-0F81-485A-90CA-6D62A948A1D8}"/>
    <hyperlink ref="H42" r:id="rId31" xr:uid="{9C551618-C049-4B03-B917-8C12245230FC}"/>
  </hyperlinks>
  <pageMargins left="0.2" right="0.2" top="0.25" bottom="0.5" header="0.3" footer="0.3"/>
  <pageSetup orientation="landscape" horizontalDpi="300" verticalDpi="300" r:id="rId32"/>
  <tableParts count="1">
    <tablePart r:id="rId3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1A621-1F6A-4AB4-9293-B5969F3C1EE3}">
  <sheetPr codeName="Hoja1"/>
  <dimension ref="A1:D217"/>
  <sheetViews>
    <sheetView showGridLines="0" topLeftCell="A190" workbookViewId="0">
      <selection activeCell="D217" sqref="D217"/>
    </sheetView>
  </sheetViews>
  <sheetFormatPr baseColWidth="10" defaultRowHeight="15" x14ac:dyDescent="0.25"/>
  <cols>
    <col min="1" max="1" width="15.7109375" style="78" customWidth="1"/>
    <col min="2" max="3" width="40.7109375" style="79" customWidth="1"/>
    <col min="4" max="4" width="9.42578125" style="79" bestFit="1" customWidth="1"/>
    <col min="5" max="5" width="18.7109375" style="79" bestFit="1" customWidth="1"/>
    <col min="6" max="6" width="12.7109375" style="79" bestFit="1" customWidth="1"/>
    <col min="7" max="7" width="31.85546875" style="79" bestFit="1" customWidth="1"/>
    <col min="8" max="8" width="18.5703125" style="79" bestFit="1" customWidth="1"/>
    <col min="9" max="16384" width="11.42578125" style="79"/>
  </cols>
  <sheetData>
    <row r="1" spans="1:4" ht="15.75" thickBot="1" x14ac:dyDescent="0.3">
      <c r="A1" s="83" t="s">
        <v>119</v>
      </c>
      <c r="B1" s="80" t="s">
        <v>78</v>
      </c>
      <c r="C1" s="80" t="s">
        <v>16</v>
      </c>
      <c r="D1" s="31" t="s">
        <v>67</v>
      </c>
    </row>
    <row r="2" spans="1:4" ht="16.5" thickTop="1" thickBot="1" x14ac:dyDescent="0.3">
      <c r="A2" s="84">
        <v>1053811829</v>
      </c>
      <c r="B2" s="81" t="str">
        <f>IF(A2&lt;&gt;0,VLOOKUP(Tabla5[[#This Row],[N° CEDULA]],[1]!BASE_DATOS[#Data],2,0)," ")</f>
        <v>ANDRES CAMILO ARANGO VELASQUEZ</v>
      </c>
      <c r="C2" s="82" t="s">
        <v>134</v>
      </c>
      <c r="D2" s="88">
        <v>44759</v>
      </c>
    </row>
    <row r="3" spans="1:4" ht="16.5" thickTop="1" thickBot="1" x14ac:dyDescent="0.3">
      <c r="A3" s="84">
        <v>1053787261</v>
      </c>
      <c r="B3" s="81" t="str">
        <f>IF(A3&lt;&gt;0,VLOOKUP(Tabla5[[#This Row],[N° CEDULA]],[1]!BASE_DATOS[#Data],2,0)," ")</f>
        <v>DEIGAR ANDRES ROA SANCHEZ</v>
      </c>
      <c r="C3" s="82" t="s">
        <v>134</v>
      </c>
      <c r="D3" s="88">
        <v>44765</v>
      </c>
    </row>
    <row r="4" spans="1:4" ht="16.5" thickTop="1" thickBot="1" x14ac:dyDescent="0.3">
      <c r="A4" s="84">
        <v>1053825140</v>
      </c>
      <c r="B4" s="81" t="str">
        <f>IF(A4&lt;&gt;0,VLOOKUP(Tabla5[[#This Row],[N° CEDULA]],[1]!BASE_DATOS[#Data],2,0)," ")</f>
        <v>ELIECER MARIN BETANCUR</v>
      </c>
      <c r="C4" s="82" t="s">
        <v>134</v>
      </c>
      <c r="D4" s="88">
        <v>44759</v>
      </c>
    </row>
    <row r="5" spans="1:4" ht="16.5" thickTop="1" thickBot="1" x14ac:dyDescent="0.3">
      <c r="A5" s="84">
        <v>1053799426</v>
      </c>
      <c r="B5" s="81" t="str">
        <f>IF(A5&lt;&gt;0,VLOOKUP(Tabla5[[#This Row],[N° CEDULA]],[1]!BASE_DATOS[#Data],2,0)," ")</f>
        <v>ELKIN DARIO TORRES SIERRA</v>
      </c>
      <c r="C5" s="82" t="s">
        <v>134</v>
      </c>
      <c r="D5" s="88">
        <v>44765</v>
      </c>
    </row>
    <row r="6" spans="1:4" ht="16.5" thickTop="1" thickBot="1" x14ac:dyDescent="0.3">
      <c r="A6" s="84">
        <v>1053769072</v>
      </c>
      <c r="B6" s="81" t="str">
        <f>IF(A6&lt;&gt;0,VLOOKUP(Tabla5[[#This Row],[N° CEDULA]],[1]!BASE_DATOS[#Data],2,0)," ")</f>
        <v xml:space="preserve">HECTOR ADRIAN ALVAREZ LOPEZ </v>
      </c>
      <c r="C6" s="82" t="s">
        <v>134</v>
      </c>
      <c r="D6" s="88">
        <v>44759</v>
      </c>
    </row>
    <row r="7" spans="1:4" ht="16.5" thickTop="1" thickBot="1" x14ac:dyDescent="0.3">
      <c r="A7" s="84">
        <v>1053786320</v>
      </c>
      <c r="B7" s="81" t="str">
        <f>IF(A7&lt;&gt;0,VLOOKUP(Tabla5[[#This Row],[N° CEDULA]],[1]!BASE_DATOS[#Data],2,0)," ")</f>
        <v>JAVIER ALEXANDER MARIN BETANCUR</v>
      </c>
      <c r="C7" s="82" t="s">
        <v>134</v>
      </c>
      <c r="D7" s="88">
        <v>44759</v>
      </c>
    </row>
    <row r="8" spans="1:4" ht="16.5" thickTop="1" thickBot="1" x14ac:dyDescent="0.3">
      <c r="A8" s="84">
        <v>1060588166</v>
      </c>
      <c r="B8" s="81" t="str">
        <f>IF(A8&lt;&gt;0,VLOOKUP(Tabla5[[#This Row],[N° CEDULA]],[1]!BASE_DATOS[#Data],2,0)," ")</f>
        <v>JOHN ALDEMAR BURBANO CARTAGENA</v>
      </c>
      <c r="C8" s="82" t="s">
        <v>134</v>
      </c>
      <c r="D8" s="88">
        <v>44759</v>
      </c>
    </row>
    <row r="9" spans="1:4" ht="16.5" thickTop="1" thickBot="1" x14ac:dyDescent="0.3">
      <c r="A9" s="84">
        <v>75105958</v>
      </c>
      <c r="B9" s="81" t="str">
        <f>IF(A9&lt;&gt;0,VLOOKUP(Tabla5[[#This Row],[N° CEDULA]],[1]!BASE_DATOS[#Data],2,0)," ")</f>
        <v>JOSE DAVID OSPINA CORREA</v>
      </c>
      <c r="C9" s="82" t="s">
        <v>134</v>
      </c>
      <c r="D9" s="88">
        <v>44759</v>
      </c>
    </row>
    <row r="10" spans="1:4" ht="16.5" thickTop="1" thickBot="1" x14ac:dyDescent="0.3">
      <c r="A10" s="84">
        <v>1053826969</v>
      </c>
      <c r="B10" s="81" t="str">
        <f>IF(A10&lt;&gt;0,VLOOKUP(Tabla5[[#This Row],[N° CEDULA]],[1]!BASE_DATOS[#Data],2,0)," ")</f>
        <v>JOSE HERNAN PATIÑO ZAPATA</v>
      </c>
      <c r="C10" s="82" t="s">
        <v>134</v>
      </c>
      <c r="D10" s="88">
        <v>44759</v>
      </c>
    </row>
    <row r="11" spans="1:4" ht="16.5" thickTop="1" thickBot="1" x14ac:dyDescent="0.3">
      <c r="A11" s="84">
        <v>1053822751</v>
      </c>
      <c r="B11" s="81" t="str">
        <f>IF(A11&lt;&gt;0,VLOOKUP(Tabla5[[#This Row],[N° CEDULA]],[1]!BASE_DATOS[#Data],2,0)," ")</f>
        <v>JUAN DAVID ARIAS MORALES</v>
      </c>
      <c r="C11" s="82" t="s">
        <v>134</v>
      </c>
      <c r="D11" s="88">
        <v>44759</v>
      </c>
    </row>
    <row r="12" spans="1:4" ht="16.5" thickTop="1" thickBot="1" x14ac:dyDescent="0.3">
      <c r="A12" s="84">
        <v>1053855161</v>
      </c>
      <c r="B12" s="81" t="str">
        <f>IF(A12&lt;&gt;0,VLOOKUP(Tabla5[[#This Row],[N° CEDULA]],[1]!BASE_DATOS[#Data],2,0)," ")</f>
        <v>MATEO GIRALDO GARCIA</v>
      </c>
      <c r="C12" s="82" t="s">
        <v>134</v>
      </c>
      <c r="D12" s="88">
        <v>44759</v>
      </c>
    </row>
    <row r="13" spans="1:4" ht="16.5" thickTop="1" thickBot="1" x14ac:dyDescent="0.3">
      <c r="A13" s="84">
        <v>1053822297</v>
      </c>
      <c r="B13" s="81" t="str">
        <f>IF(A13&lt;&gt;0,VLOOKUP(Tabla5[[#This Row],[N° CEDULA]],[1]!BASE_DATOS[#Data],2,0)," ")</f>
        <v xml:space="preserve">ROBINSON VALENCIA CORREA </v>
      </c>
      <c r="C13" s="82" t="s">
        <v>134</v>
      </c>
      <c r="D13" s="88">
        <v>44759</v>
      </c>
    </row>
    <row r="14" spans="1:4" ht="16.5" thickTop="1" thickBot="1" x14ac:dyDescent="0.3">
      <c r="A14" s="84">
        <v>1053830829</v>
      </c>
      <c r="B14" s="81" t="str">
        <f>IF(A14&lt;&gt;0,VLOOKUP(Tabla5[[#This Row],[N° CEDULA]],[1]!BASE_DATOS[#Data],2,0)," ")</f>
        <v>SERGIO ANDRES CORREA CEBALLOS</v>
      </c>
      <c r="C14" s="82" t="s">
        <v>134</v>
      </c>
      <c r="D14" s="88">
        <v>44759</v>
      </c>
    </row>
    <row r="15" spans="1:4" ht="16.5" thickTop="1" thickBot="1" x14ac:dyDescent="0.3">
      <c r="A15" s="84">
        <v>16090400</v>
      </c>
      <c r="B15" s="81" t="str">
        <f>IF(A15&lt;&gt;0,VLOOKUP(Tabla5[[#This Row],[N° CEDULA]],[1]!BASE_DATOS[#Data],2,0)," ")</f>
        <v>HERNAN AUGUSTO SALAZAR MAHECHA</v>
      </c>
      <c r="C15" s="82" t="s">
        <v>136</v>
      </c>
      <c r="D15" s="88">
        <v>44759</v>
      </c>
    </row>
    <row r="16" spans="1:4" ht="16.5" thickTop="1" thickBot="1" x14ac:dyDescent="0.3">
      <c r="A16" s="84">
        <v>16077846</v>
      </c>
      <c r="B16" s="81" t="str">
        <f>IF(A16&lt;&gt;0,VLOOKUP(Tabla5[[#This Row],[N° CEDULA]],[1]!BASE_DATOS[#Data],2,0)," ")</f>
        <v>JHON EDISON ARBOLEDA DUQUE</v>
      </c>
      <c r="C16" s="82" t="s">
        <v>136</v>
      </c>
      <c r="D16" s="88">
        <v>44759</v>
      </c>
    </row>
    <row r="17" spans="1:4" ht="16.5" thickTop="1" thickBot="1" x14ac:dyDescent="0.3">
      <c r="A17" s="84">
        <v>1053812362</v>
      </c>
      <c r="B17" s="81" t="str">
        <f>IF(A17&lt;&gt;0,VLOOKUP(Tabla5[[#This Row],[N° CEDULA]],[1]!BASE_DATOS[#Data],2,0)," ")</f>
        <v>JHONATAN ZULUAGA HERNANDEZ</v>
      </c>
      <c r="C17" s="82" t="s">
        <v>136</v>
      </c>
      <c r="D17" s="88">
        <v>44759</v>
      </c>
    </row>
    <row r="18" spans="1:4" ht="16.5" thickTop="1" thickBot="1" x14ac:dyDescent="0.3">
      <c r="A18" s="84">
        <v>75103643</v>
      </c>
      <c r="B18" s="81" t="str">
        <f>IF(A18&lt;&gt;0,VLOOKUP(Tabla5[[#This Row],[N° CEDULA]],[1]!BASE_DATOS[#Data],2,0)," ")</f>
        <v>JORGE IVAN MOSQUERA DUQUE</v>
      </c>
      <c r="C18" s="82" t="s">
        <v>136</v>
      </c>
      <c r="D18" s="88">
        <v>44759</v>
      </c>
    </row>
    <row r="19" spans="1:4" ht="16.5" thickTop="1" thickBot="1" x14ac:dyDescent="0.3">
      <c r="A19" s="84">
        <v>1053843761</v>
      </c>
      <c r="B19" s="81" t="str">
        <f>IF(A19&lt;&gt;0,VLOOKUP(Tabla5[[#This Row],[N° CEDULA]],[1]!BASE_DATOS[#Data],2,0)," ")</f>
        <v>JUAN CAMILO ARROYAVE BOTERO</v>
      </c>
      <c r="C19" s="82" t="s">
        <v>136</v>
      </c>
      <c r="D19" s="88">
        <v>44759</v>
      </c>
    </row>
    <row r="20" spans="1:4" ht="16.5" thickTop="1" thickBot="1" x14ac:dyDescent="0.3">
      <c r="A20" s="84">
        <v>1002633688</v>
      </c>
      <c r="B20" s="81" t="str">
        <f>IF(A20&lt;&gt;0,VLOOKUP(Tabla5[[#This Row],[N° CEDULA]],[1]!BASE_DATOS[#Data],2,0)," ")</f>
        <v>JUAN MANUEL PATIÑO CARDONA</v>
      </c>
      <c r="C20" s="82" t="s">
        <v>136</v>
      </c>
      <c r="D20" s="88">
        <v>44759</v>
      </c>
    </row>
    <row r="21" spans="1:4" ht="16.5" thickTop="1" thickBot="1" x14ac:dyDescent="0.3">
      <c r="A21" s="84">
        <v>1060653214</v>
      </c>
      <c r="B21" s="81" t="str">
        <f>IF(A21&lt;&gt;0,VLOOKUP(Tabla5[[#This Row],[N° CEDULA]],[1]!BASE_DATOS[#Data],2,0)," ")</f>
        <v xml:space="preserve">MAURICIO ZULUAGA TABAREZ </v>
      </c>
      <c r="C21" s="82" t="s">
        <v>136</v>
      </c>
      <c r="D21" s="88">
        <v>44759</v>
      </c>
    </row>
    <row r="22" spans="1:4" ht="16.5" thickTop="1" thickBot="1" x14ac:dyDescent="0.3">
      <c r="A22" s="84">
        <v>1053808280</v>
      </c>
      <c r="B22" s="81" t="str">
        <f>IF(A22&lt;&gt;0,VLOOKUP(Tabla5[[#This Row],[N° CEDULA]],[1]!BASE_DATOS[#Data],2,0)," ")</f>
        <v>MILTON CAMILO HERRERA HERNANDEZ</v>
      </c>
      <c r="C22" s="82" t="s">
        <v>136</v>
      </c>
      <c r="D22" s="88">
        <v>44765</v>
      </c>
    </row>
    <row r="23" spans="1:4" ht="16.5" thickTop="1" thickBot="1" x14ac:dyDescent="0.3">
      <c r="A23" s="84">
        <v>1053771371</v>
      </c>
      <c r="B23" s="81" t="str">
        <f>IF(A23&lt;&gt;0,VLOOKUP(Tabla5[[#This Row],[N° CEDULA]],[1]!BASE_DATOS[#Data],2,0)," ")</f>
        <v>OSCAR ALEXANDER HERNANDEZ COJO</v>
      </c>
      <c r="C23" s="82" t="s">
        <v>136</v>
      </c>
      <c r="D23" s="88">
        <v>44759</v>
      </c>
    </row>
    <row r="24" spans="1:4" ht="16.5" thickTop="1" thickBot="1" x14ac:dyDescent="0.3">
      <c r="A24" s="84">
        <v>1060648419</v>
      </c>
      <c r="B24" s="81" t="str">
        <f>IF(A24&lt;&gt;0,VLOOKUP(Tabla5[[#This Row],[N° CEDULA]],[1]!BASE_DATOS[#Data],2,0)," ")</f>
        <v>ROBINSON HARVEY VALENCIA CASTAÑO</v>
      </c>
      <c r="C24" s="82" t="s">
        <v>136</v>
      </c>
      <c r="D24" s="88">
        <v>44759</v>
      </c>
    </row>
    <row r="25" spans="1:4" ht="16.5" thickTop="1" thickBot="1" x14ac:dyDescent="0.3">
      <c r="A25" s="84">
        <v>1053795415</v>
      </c>
      <c r="B25" s="81" t="str">
        <f>IF(A25&lt;&gt;0,VLOOKUP(Tabla5[[#This Row],[N° CEDULA]],[1]!BASE_DATOS[#Data],2,0)," ")</f>
        <v>WILSON ALBERTO NIETO RIOS</v>
      </c>
      <c r="C25" s="82" t="s">
        <v>136</v>
      </c>
      <c r="D25" s="88">
        <v>44759</v>
      </c>
    </row>
    <row r="26" spans="1:4" ht="16.5" thickTop="1" thickBot="1" x14ac:dyDescent="0.3">
      <c r="A26" s="84">
        <v>1002546408</v>
      </c>
      <c r="B26" s="81" t="str">
        <f>IF(A26&lt;&gt;0,VLOOKUP(Tabla5[[#This Row],[N° CEDULA]],[1]!BASE_DATOS[#Data],2,0)," ")</f>
        <v>YEIRON ESTIVEN MARULANDA BARCO</v>
      </c>
      <c r="C26" s="82" t="s">
        <v>136</v>
      </c>
      <c r="D26" s="88">
        <v>44759</v>
      </c>
    </row>
    <row r="27" spans="1:4" ht="16.5" thickTop="1" thickBot="1" x14ac:dyDescent="0.3">
      <c r="A27" s="84">
        <v>1060655855</v>
      </c>
      <c r="B27" s="81" t="str">
        <f>IF(A27&lt;&gt;0,VLOOKUP(Tabla5[[#This Row],[N° CEDULA]],[1]!BASE_DATOS[#Data],2,0)," ")</f>
        <v>BRAYAN ACEVEDO TRUJILLO</v>
      </c>
      <c r="C27" s="82" t="s">
        <v>217</v>
      </c>
      <c r="D27" s="88">
        <v>44765</v>
      </c>
    </row>
    <row r="28" spans="1:4" ht="16.5" thickTop="1" thickBot="1" x14ac:dyDescent="0.3">
      <c r="A28" s="84">
        <v>1053830686</v>
      </c>
      <c r="B28" s="81" t="str">
        <f>IF(A28&lt;&gt;0,VLOOKUP(Tabla5[[#This Row],[N° CEDULA]],[1]!BASE_DATOS[#Data],2,0)," ")</f>
        <v>CARLOS EDUARDO OROZCO MARIN</v>
      </c>
      <c r="C28" s="82" t="s">
        <v>217</v>
      </c>
      <c r="D28" s="88">
        <v>44765</v>
      </c>
    </row>
    <row r="29" spans="1:4" ht="16.5" thickTop="1" thickBot="1" x14ac:dyDescent="0.3">
      <c r="A29" s="84">
        <v>1002547739</v>
      </c>
      <c r="B29" s="81" t="str">
        <f>IF(A29&lt;&gt;0,VLOOKUP(Tabla5[[#This Row],[N° CEDULA]],[1]!BASE_DATOS[#Data],2,0)," ")</f>
        <v>JEFERSON PATIÑO SILVA</v>
      </c>
      <c r="C29" s="82" t="s">
        <v>217</v>
      </c>
      <c r="D29" s="88">
        <v>44765</v>
      </c>
    </row>
    <row r="30" spans="1:4" ht="16.5" thickTop="1" thickBot="1" x14ac:dyDescent="0.3">
      <c r="A30" s="84">
        <v>1002671112</v>
      </c>
      <c r="B30" s="81" t="str">
        <f>IF(A30&lt;&gt;0,VLOOKUP(Tabla5[[#This Row],[N° CEDULA]],[1]!BASE_DATOS[#Data],2,0)," ")</f>
        <v>JHONTHYN BRADHER MEJIA GOMEZ</v>
      </c>
      <c r="C30" s="82" t="s">
        <v>217</v>
      </c>
      <c r="D30" s="88">
        <v>44765</v>
      </c>
    </row>
    <row r="31" spans="1:4" ht="16.5" thickTop="1" thickBot="1" x14ac:dyDescent="0.3">
      <c r="A31" s="84">
        <v>1002670998</v>
      </c>
      <c r="B31" s="81" t="str">
        <f>IF(A31&lt;&gt;0,VLOOKUP(Tabla5[[#This Row],[N° CEDULA]],[1]!BASE_DATOS[#Data],2,0)," ")</f>
        <v>JOSEPH BRAIDHER MEJIA GOMEZ</v>
      </c>
      <c r="C31" s="82" t="s">
        <v>217</v>
      </c>
      <c r="D31" s="88">
        <v>44765</v>
      </c>
    </row>
    <row r="32" spans="1:4" ht="16.5" thickTop="1" thickBot="1" x14ac:dyDescent="0.3">
      <c r="A32" s="84">
        <v>1002744226</v>
      </c>
      <c r="B32" s="81" t="str">
        <f>IF(A32&lt;&gt;0,VLOOKUP(Tabla5[[#This Row],[N° CEDULA]],[1]!BASE_DATOS[#Data],2,0)," ")</f>
        <v>JUAN MANUEL COLORADO BAÑOL</v>
      </c>
      <c r="C32" s="82" t="s">
        <v>217</v>
      </c>
      <c r="D32" s="88">
        <v>44765</v>
      </c>
    </row>
    <row r="33" spans="1:4" ht="16.5" thickTop="1" thickBot="1" x14ac:dyDescent="0.3">
      <c r="A33" s="84">
        <v>1002802492</v>
      </c>
      <c r="B33" s="81" t="str">
        <f>IF(A33&lt;&gt;0,VLOOKUP(Tabla5[[#This Row],[N° CEDULA]],[1]!BASE_DATOS[#Data],2,0)," ")</f>
        <v>LUIS CARLOS GRANADA GARCIA</v>
      </c>
      <c r="C33" s="82" t="s">
        <v>217</v>
      </c>
      <c r="D33" s="88">
        <v>44765</v>
      </c>
    </row>
    <row r="34" spans="1:4" ht="16.5" thickTop="1" thickBot="1" x14ac:dyDescent="0.3">
      <c r="A34" s="84">
        <v>1053820250</v>
      </c>
      <c r="B34" s="81" t="str">
        <f>IF(A34&lt;&gt;0,VLOOKUP(Tabla5[[#This Row],[N° CEDULA]],[1]!BASE_DATOS[#Data],2,0)," ")</f>
        <v>SANTIAGO FRANCO DURANGO</v>
      </c>
      <c r="C34" s="82" t="s">
        <v>217</v>
      </c>
      <c r="D34" s="88">
        <v>44765</v>
      </c>
    </row>
    <row r="35" spans="1:4" ht="16.5" thickTop="1" thickBot="1" x14ac:dyDescent="0.3">
      <c r="A35" s="84">
        <v>1053857768</v>
      </c>
      <c r="B35" s="81" t="str">
        <f>IF(A35&lt;&gt;0,VLOOKUP(Tabla5[[#This Row],[N° CEDULA]],[1]!BASE_DATOS[#Data],2,0)," ")</f>
        <v>SEBASTIAN ACOSTA RIOS</v>
      </c>
      <c r="C35" s="82" t="s">
        <v>217</v>
      </c>
      <c r="D35" s="88">
        <v>44765</v>
      </c>
    </row>
    <row r="36" spans="1:4" ht="16.5" thickTop="1" thickBot="1" x14ac:dyDescent="0.3">
      <c r="A36" s="84">
        <v>1053787879</v>
      </c>
      <c r="B36" s="81" t="str">
        <f>IF(A36&lt;&gt;0,VLOOKUP(Tabla5[[#This Row],[N° CEDULA]],[1]!BASE_DATOS[#Data],2,0)," ")</f>
        <v>ALEJANDRO TORO MORALES</v>
      </c>
      <c r="C36" s="82" t="s">
        <v>176</v>
      </c>
      <c r="D36" s="88">
        <v>44759</v>
      </c>
    </row>
    <row r="37" spans="1:4" ht="16.5" thickTop="1" thickBot="1" x14ac:dyDescent="0.3">
      <c r="A37" s="84">
        <v>1088009158</v>
      </c>
      <c r="B37" s="81" t="str">
        <f>IF(A37&lt;&gt;0,VLOOKUP(Tabla5[[#This Row],[N° CEDULA]],[1]!BASE_DATOS[#Data],2,0)," ")</f>
        <v>ANDRES FELIPE GIRALDO MUÑOZ</v>
      </c>
      <c r="C37" s="82" t="s">
        <v>176</v>
      </c>
      <c r="D37" s="88">
        <v>44765</v>
      </c>
    </row>
    <row r="38" spans="1:4" ht="16.5" thickTop="1" thickBot="1" x14ac:dyDescent="0.3">
      <c r="A38" s="84">
        <v>1053854496</v>
      </c>
      <c r="B38" s="81" t="str">
        <f>IF(A38&lt;&gt;0,VLOOKUP(Tabla5[[#This Row],[N° CEDULA]],[1]!BASE_DATOS[#Data],2,0)," ")</f>
        <v>BRAYAM STIVENS ALZATE ESPINOSA</v>
      </c>
      <c r="C38" s="82" t="s">
        <v>176</v>
      </c>
      <c r="D38" s="88">
        <v>44765</v>
      </c>
    </row>
    <row r="39" spans="1:4" ht="16.5" thickTop="1" thickBot="1" x14ac:dyDescent="0.3">
      <c r="A39" s="84">
        <v>1053803475</v>
      </c>
      <c r="B39" s="81" t="str">
        <f>IF(A39&lt;&gt;0,VLOOKUP(Tabla5[[#This Row],[N° CEDULA]],[1]!BASE_DATOS[#Data],2,0)," ")</f>
        <v>DANIEL TORO MORALES</v>
      </c>
      <c r="C39" s="82" t="s">
        <v>176</v>
      </c>
      <c r="D39" s="88">
        <v>44759</v>
      </c>
    </row>
    <row r="40" spans="1:4" ht="16.5" thickTop="1" thickBot="1" x14ac:dyDescent="0.3">
      <c r="A40" s="84">
        <v>1053792891</v>
      </c>
      <c r="B40" s="81" t="str">
        <f>IF(A40&lt;&gt;0,VLOOKUP(Tabla5[[#This Row],[N° CEDULA]],[1]!BASE_DATOS[#Data],2,0)," ")</f>
        <v>FABIO GOMEZ MARIN</v>
      </c>
      <c r="C40" s="82" t="s">
        <v>176</v>
      </c>
      <c r="D40" s="88">
        <v>44759</v>
      </c>
    </row>
    <row r="41" spans="1:4" ht="16.5" thickTop="1" thickBot="1" x14ac:dyDescent="0.3">
      <c r="A41" s="84">
        <v>1054561845</v>
      </c>
      <c r="B41" s="81" t="str">
        <f>IF(A41&lt;&gt;0,VLOOKUP(Tabla5[[#This Row],[N° CEDULA]],[1]!BASE_DATOS[#Data],2,0)," ")</f>
        <v>JHONNATAN MANIOS APACHE</v>
      </c>
      <c r="C41" s="82" t="s">
        <v>176</v>
      </c>
      <c r="D41" s="88">
        <v>44765</v>
      </c>
    </row>
    <row r="42" spans="1:4" ht="16.5" thickTop="1" thickBot="1" x14ac:dyDescent="0.3">
      <c r="A42" s="84">
        <v>1053779481</v>
      </c>
      <c r="B42" s="81" t="str">
        <f>IF(A42&lt;&gt;0,VLOOKUP(Tabla5[[#This Row],[N° CEDULA]],[1]!BASE_DATOS[#Data],2,0)," ")</f>
        <v>JORGE MAURICIO PALMA GONZALEZ</v>
      </c>
      <c r="C42" s="82" t="s">
        <v>176</v>
      </c>
      <c r="D42" s="88">
        <v>44759</v>
      </c>
    </row>
    <row r="43" spans="1:4" ht="16.5" thickTop="1" thickBot="1" x14ac:dyDescent="0.3">
      <c r="A43" s="84">
        <v>1053873107</v>
      </c>
      <c r="B43" s="81" t="str">
        <f>IF(A43&lt;&gt;0,VLOOKUP(Tabla5[[#This Row],[N° CEDULA]],[1]!BASE_DATOS[#Data],2,0)," ")</f>
        <v>JOSE LUIS DE LOS RIOS NUÑEZ</v>
      </c>
      <c r="C43" s="82" t="s">
        <v>176</v>
      </c>
      <c r="D43" s="88">
        <v>44765</v>
      </c>
    </row>
    <row r="44" spans="1:4" ht="16.5" thickTop="1" thickBot="1" x14ac:dyDescent="0.3">
      <c r="A44" s="84">
        <v>1002653932</v>
      </c>
      <c r="B44" s="81" t="str">
        <f>IF(A44&lt;&gt;0,VLOOKUP(Tabla5[[#This Row],[N° CEDULA]],[1]!BASE_DATOS[#Data],2,0)," ")</f>
        <v>JUAN CAMILO SANTA ESTRADA</v>
      </c>
      <c r="C44" s="82" t="s">
        <v>176</v>
      </c>
      <c r="D44" s="88">
        <v>44759</v>
      </c>
    </row>
    <row r="45" spans="1:4" ht="16.5" thickTop="1" thickBot="1" x14ac:dyDescent="0.3">
      <c r="A45" s="84">
        <v>1053867427</v>
      </c>
      <c r="B45" s="81" t="str">
        <f>IF(A45&lt;&gt;0,VLOOKUP(Tabla5[[#This Row],[N° CEDULA]],[1]!BASE_DATOS[#Data],2,0)," ")</f>
        <v>JUAN DANIEL LONDOÑO CASTRILLON</v>
      </c>
      <c r="C45" s="82" t="s">
        <v>176</v>
      </c>
      <c r="D45" s="88">
        <v>44759</v>
      </c>
    </row>
    <row r="46" spans="1:4" ht="16.5" thickTop="1" thickBot="1" x14ac:dyDescent="0.3">
      <c r="A46" s="84">
        <v>1053859010</v>
      </c>
      <c r="B46" s="81" t="str">
        <f>IF(A46&lt;&gt;0,VLOOKUP(Tabla5[[#This Row],[N° CEDULA]],[1]!BASE_DATOS[#Data],2,0)," ")</f>
        <v>MAIKOL GIOVANNY CORREA OSORIO</v>
      </c>
      <c r="C46" s="82" t="s">
        <v>176</v>
      </c>
      <c r="D46" s="88">
        <v>44759</v>
      </c>
    </row>
    <row r="47" spans="1:4" ht="16.5" thickTop="1" thickBot="1" x14ac:dyDescent="0.3">
      <c r="A47" s="84">
        <v>1002580038</v>
      </c>
      <c r="B47" s="81" t="str">
        <f>IF(A47&lt;&gt;0,VLOOKUP(Tabla5[[#This Row],[N° CEDULA]],[1]!BASE_DATOS[#Data],2,0)," ")</f>
        <v>ORLANDO LOAIZA MANIOS</v>
      </c>
      <c r="C47" s="82" t="s">
        <v>176</v>
      </c>
      <c r="D47" s="88">
        <v>44759</v>
      </c>
    </row>
    <row r="48" spans="1:4" ht="16.5" thickTop="1" thickBot="1" x14ac:dyDescent="0.3">
      <c r="A48" s="84">
        <v>1144068386</v>
      </c>
      <c r="B48" s="81" t="str">
        <f>IF(A48&lt;&gt;0,VLOOKUP(Tabla5[[#This Row],[N° CEDULA]],[1]!BASE_DATOS[#Data],2,0)," ")</f>
        <v>SANTIAGO HERNANDEZ RENDON</v>
      </c>
      <c r="C48" s="82" t="s">
        <v>176</v>
      </c>
      <c r="D48" s="88">
        <v>44759</v>
      </c>
    </row>
    <row r="49" spans="1:4" ht="16.5" thickTop="1" thickBot="1" x14ac:dyDescent="0.3">
      <c r="A49" s="84">
        <v>1053849224</v>
      </c>
      <c r="B49" s="81" t="str">
        <f>IF(A49&lt;&gt;0,VLOOKUP(Tabla5[[#This Row],[N° CEDULA]],[1]!BASE_DATOS[#Data],2,0)," ")</f>
        <v>CARLOS DANIEL QUINTERO MUÑOZ</v>
      </c>
      <c r="C49" s="82" t="s">
        <v>252</v>
      </c>
      <c r="D49" s="88">
        <v>44766</v>
      </c>
    </row>
    <row r="50" spans="1:4" ht="16.5" thickTop="1" thickBot="1" x14ac:dyDescent="0.3">
      <c r="A50" s="84">
        <v>1053795969</v>
      </c>
      <c r="B50" s="81" t="str">
        <f>IF(A50&lt;&gt;0,VLOOKUP(Tabla5[[#This Row],[N° CEDULA]],[1]!BASE_DATOS[#Data],2,0)," ")</f>
        <v>CESAR AUGUSTO BURGOS MEJIA</v>
      </c>
      <c r="C50" s="82" t="s">
        <v>252</v>
      </c>
      <c r="D50" s="88">
        <v>44766</v>
      </c>
    </row>
    <row r="51" spans="1:4" ht="16.5" thickTop="1" thickBot="1" x14ac:dyDescent="0.3">
      <c r="A51" s="84">
        <v>1149452521</v>
      </c>
      <c r="B51" s="81" t="str">
        <f>IF(A51&lt;&gt;0,VLOOKUP(Tabla5[[#This Row],[N° CEDULA]],[1]!BASE_DATOS[#Data],2,0)," ")</f>
        <v>DANIEL ALEJANDRO MUÑOZ JIMENEZ</v>
      </c>
      <c r="C51" s="82" t="s">
        <v>252</v>
      </c>
      <c r="D51" s="88">
        <v>44766</v>
      </c>
    </row>
    <row r="52" spans="1:4" ht="16.5" thickTop="1" thickBot="1" x14ac:dyDescent="0.3">
      <c r="A52" s="84">
        <v>1053821732</v>
      </c>
      <c r="B52" s="81" t="str">
        <f>IF(A52&lt;&gt;0,VLOOKUP(Tabla5[[#This Row],[N° CEDULA]],[1]!BASE_DATOS[#Data],2,0)," ")</f>
        <v>DANIEL FELIPE RAMIREZ OSPINA</v>
      </c>
      <c r="C52" s="82" t="s">
        <v>252</v>
      </c>
      <c r="D52" s="88">
        <v>44766</v>
      </c>
    </row>
    <row r="53" spans="1:4" ht="16.5" thickTop="1" thickBot="1" x14ac:dyDescent="0.3">
      <c r="A53" s="84">
        <v>1053794698</v>
      </c>
      <c r="B53" s="81" t="str">
        <f>IF(A53&lt;&gt;0,VLOOKUP(Tabla5[[#This Row],[N° CEDULA]],[1]!BASE_DATOS[#Data],2,0)," ")</f>
        <v>DANIEL FERNANDO MEJIA GUARIN</v>
      </c>
      <c r="C53" s="82" t="s">
        <v>252</v>
      </c>
      <c r="D53" s="88">
        <v>44766</v>
      </c>
    </row>
    <row r="54" spans="1:4" ht="16.5" thickTop="1" thickBot="1" x14ac:dyDescent="0.3">
      <c r="A54" s="84">
        <v>1053808488</v>
      </c>
      <c r="B54" s="81" t="str">
        <f>IF(A54&lt;&gt;0,VLOOKUP(Tabla5[[#This Row],[N° CEDULA]],[1]!BASE_DATOS[#Data],2,0)," ")</f>
        <v>DUVIER OSPINA QUICENO</v>
      </c>
      <c r="C54" s="82" t="s">
        <v>252</v>
      </c>
      <c r="D54" s="88">
        <v>44766</v>
      </c>
    </row>
    <row r="55" spans="1:4" ht="16.5" thickTop="1" thickBot="1" x14ac:dyDescent="0.3">
      <c r="A55" s="84">
        <v>3232</v>
      </c>
      <c r="B55" s="81" t="str">
        <f>IF(A55&lt;&gt;0,VLOOKUP(Tabla5[[#This Row],[N° CEDULA]],[1]!BASE_DATOS[#Data],2,0)," ")</f>
        <v>FABIAN QUINTERO</v>
      </c>
      <c r="C55" s="82" t="s">
        <v>252</v>
      </c>
      <c r="D55" s="88">
        <v>44766</v>
      </c>
    </row>
    <row r="56" spans="1:4" ht="16.5" thickTop="1" thickBot="1" x14ac:dyDescent="0.3">
      <c r="A56" s="84">
        <v>1053852904</v>
      </c>
      <c r="B56" s="81" t="str">
        <f>IF(A56&lt;&gt;0,VLOOKUP(Tabla5[[#This Row],[N° CEDULA]],[1]!BASE_DATOS[#Data],2,0)," ")</f>
        <v>JHON BRAYAN HERNANDEZ MARTINEZ</v>
      </c>
      <c r="C56" s="82" t="s">
        <v>252</v>
      </c>
      <c r="D56" s="88">
        <v>44766</v>
      </c>
    </row>
    <row r="57" spans="1:4" ht="16.5" thickTop="1" thickBot="1" x14ac:dyDescent="0.3">
      <c r="A57" s="84">
        <v>1106899782</v>
      </c>
      <c r="B57" s="81" t="str">
        <f>IF(A57&lt;&gt;0,VLOOKUP(Tabla5[[#This Row],[N° CEDULA]],[1]!BASE_DATOS[#Data],2,0)," ")</f>
        <v xml:space="preserve">JOSE ESTEBAN GOMEZ SALAZAR </v>
      </c>
      <c r="C57" s="82" t="s">
        <v>252</v>
      </c>
      <c r="D57" s="88">
        <v>44766</v>
      </c>
    </row>
    <row r="58" spans="1:4" ht="16.5" thickTop="1" thickBot="1" x14ac:dyDescent="0.3">
      <c r="A58" s="84">
        <v>1082889854</v>
      </c>
      <c r="B58" s="81" t="str">
        <f>IF(A58&lt;&gt;0,VLOOKUP(Tabla5[[#This Row],[N° CEDULA]],[1]!BASE_DATOS[#Data],2,0)," ")</f>
        <v>LUIS ALBERTO GRANADOS ALVAREZ</v>
      </c>
      <c r="C58" s="82" t="s">
        <v>252</v>
      </c>
      <c r="D58" s="88">
        <v>44766</v>
      </c>
    </row>
    <row r="59" spans="1:4" ht="16.5" thickTop="1" thickBot="1" x14ac:dyDescent="0.3">
      <c r="A59" s="84">
        <v>1053792253</v>
      </c>
      <c r="B59" s="81" t="str">
        <f>IF(A59&lt;&gt;0,VLOOKUP(Tabla5[[#This Row],[N° CEDULA]],[1]!BASE_DATOS[#Data],2,0)," ")</f>
        <v>YEFERSON GONZALEZ ARCILA</v>
      </c>
      <c r="C59" s="82" t="s">
        <v>252</v>
      </c>
      <c r="D59" s="88">
        <v>44766</v>
      </c>
    </row>
    <row r="60" spans="1:4" ht="16.5" thickTop="1" thickBot="1" x14ac:dyDescent="0.3">
      <c r="A60" s="84">
        <v>1053848114</v>
      </c>
      <c r="B60" s="81" t="str">
        <f>IF(A60&lt;&gt;0,VLOOKUP(Tabla5[[#This Row],[N° CEDULA]],[1]!BASE_DATOS[#Data],2,0)," ")</f>
        <v>ALEJANDRO GIL LLANO</v>
      </c>
      <c r="C60" s="82" t="s">
        <v>162</v>
      </c>
      <c r="D60" s="88">
        <v>44759</v>
      </c>
    </row>
    <row r="61" spans="1:4" ht="16.5" thickTop="1" thickBot="1" x14ac:dyDescent="0.3">
      <c r="A61" s="84">
        <v>75106234</v>
      </c>
      <c r="B61" s="81" t="str">
        <f>IF(A61&lt;&gt;0,VLOOKUP(Tabla5[[#This Row],[N° CEDULA]],[1]!BASE_DATOS[#Data],2,0)," ")</f>
        <v xml:space="preserve">CRISTIAN DAVID MONTOYA AGUDELO </v>
      </c>
      <c r="C61" s="82" t="s">
        <v>162</v>
      </c>
      <c r="D61" s="88">
        <v>44759</v>
      </c>
    </row>
    <row r="62" spans="1:4" ht="16.5" thickTop="1" thickBot="1" x14ac:dyDescent="0.3">
      <c r="A62" s="84">
        <v>1053849307</v>
      </c>
      <c r="B62" s="81" t="str">
        <f>IF(A62&lt;&gt;0,VLOOKUP(Tabla5[[#This Row],[N° CEDULA]],[1]!BASE_DATOS[#Data],2,0)," ")</f>
        <v>CRISTIAN DAVID PINILLA MURCIA</v>
      </c>
      <c r="C62" s="82" t="s">
        <v>162</v>
      </c>
      <c r="D62" s="88">
        <v>44759</v>
      </c>
    </row>
    <row r="63" spans="1:4" ht="16.5" thickTop="1" thickBot="1" x14ac:dyDescent="0.3">
      <c r="A63" s="84">
        <v>1053771272</v>
      </c>
      <c r="B63" s="81" t="str">
        <f>IF(A63&lt;&gt;0,VLOOKUP(Tabla5[[#This Row],[N° CEDULA]],[1]!BASE_DATOS[#Data],2,0)," ")</f>
        <v>DAVID SMITH CHAVEZ CARRILLO</v>
      </c>
      <c r="C63" s="82" t="s">
        <v>162</v>
      </c>
      <c r="D63" s="88">
        <v>44759</v>
      </c>
    </row>
    <row r="64" spans="1:4" ht="16.5" thickTop="1" thickBot="1" x14ac:dyDescent="0.3">
      <c r="A64" s="84">
        <v>75102961</v>
      </c>
      <c r="B64" s="81" t="str">
        <f>IF(A64&lt;&gt;0,VLOOKUP(Tabla5[[#This Row],[N° CEDULA]],[1]!BASE_DATOS[#Data],2,0)," ")</f>
        <v>DIEGO EDDYE HURTADO QUINTERO</v>
      </c>
      <c r="C64" s="82" t="s">
        <v>162</v>
      </c>
      <c r="D64" s="88">
        <v>44759</v>
      </c>
    </row>
    <row r="65" spans="1:4" ht="16.5" thickTop="1" thickBot="1" x14ac:dyDescent="0.3">
      <c r="A65" s="84">
        <v>1010135054</v>
      </c>
      <c r="B65" s="81" t="str">
        <f>IF(A65&lt;&gt;0,VLOOKUP(Tabla5[[#This Row],[N° CEDULA]],[1]!BASE_DATOS[#Data],2,0)," ")</f>
        <v>JEANCARLO DUARTE GONZALEZ</v>
      </c>
      <c r="C65" s="82" t="s">
        <v>162</v>
      </c>
      <c r="D65" s="88">
        <v>44759</v>
      </c>
    </row>
    <row r="66" spans="1:4" ht="16.5" thickTop="1" thickBot="1" x14ac:dyDescent="0.3">
      <c r="A66" s="84">
        <v>1053796033</v>
      </c>
      <c r="B66" s="81" t="str">
        <f>IF(A66&lt;&gt;0,VLOOKUP(Tabla5[[#This Row],[N° CEDULA]],[1]!BASE_DATOS[#Data],2,0)," ")</f>
        <v xml:space="preserve">JORGE MARIO TORRES LOPEZ </v>
      </c>
      <c r="C66" s="82" t="s">
        <v>162</v>
      </c>
      <c r="D66" s="88">
        <v>44759</v>
      </c>
    </row>
    <row r="67" spans="1:4" ht="16.5" thickTop="1" thickBot="1" x14ac:dyDescent="0.3">
      <c r="A67" s="84">
        <v>1053786560</v>
      </c>
      <c r="B67" s="81" t="str">
        <f>IF(A67&lt;&gt;0,VLOOKUP(Tabla5[[#This Row],[N° CEDULA]],[1]!BASE_DATOS[#Data],2,0)," ")</f>
        <v xml:space="preserve">JUAN DAVID TORRES MARIN </v>
      </c>
      <c r="C67" s="82" t="s">
        <v>162</v>
      </c>
      <c r="D67" s="88">
        <v>44766</v>
      </c>
    </row>
    <row r="68" spans="1:4" ht="16.5" thickTop="1" thickBot="1" x14ac:dyDescent="0.3">
      <c r="A68" s="84">
        <v>1193222796</v>
      </c>
      <c r="B68" s="81" t="str">
        <f>IF(A68&lt;&gt;0,VLOOKUP(Tabla5[[#This Row],[N° CEDULA]],[1]!BASE_DATOS[#Data],2,0)," ")</f>
        <v>JUAN FERNANDO CARDENAS ORTEGON</v>
      </c>
      <c r="C68" s="82" t="s">
        <v>162</v>
      </c>
      <c r="D68" s="88">
        <v>44759</v>
      </c>
    </row>
    <row r="69" spans="1:4" ht="16.5" thickTop="1" thickBot="1" x14ac:dyDescent="0.3">
      <c r="A69" s="84">
        <v>75104870</v>
      </c>
      <c r="B69" s="81" t="str">
        <f>IF(A69&lt;&gt;0,VLOOKUP(Tabla5[[#This Row],[N° CEDULA]],[1]!BASE_DATOS[#Data],2,0)," ")</f>
        <v>OSCAR JAVIER BERMUDEZ TEHERAN</v>
      </c>
      <c r="C69" s="82" t="s">
        <v>162</v>
      </c>
      <c r="D69" s="88">
        <v>44759</v>
      </c>
    </row>
    <row r="70" spans="1:4" ht="16.5" thickTop="1" thickBot="1" x14ac:dyDescent="0.3">
      <c r="A70" s="84">
        <v>16071315</v>
      </c>
      <c r="B70" s="81" t="str">
        <f>IF(A70&lt;&gt;0,VLOOKUP(Tabla5[[#This Row],[N° CEDULA]],[1]!BASE_DATOS[#Data],2,0)," ")</f>
        <v xml:space="preserve">WILIAM ANDRES GRANADA RODAS </v>
      </c>
      <c r="C70" s="82" t="s">
        <v>162</v>
      </c>
      <c r="D70" s="88">
        <v>44759</v>
      </c>
    </row>
    <row r="71" spans="1:4" ht="16.5" thickTop="1" thickBot="1" x14ac:dyDescent="0.3">
      <c r="A71" s="84">
        <v>1053865451</v>
      </c>
      <c r="B71" s="81" t="str">
        <f>IF(A71&lt;&gt;0,VLOOKUP(Tabla5[[#This Row],[N° CEDULA]],[1]!BASE_DATOS[#Data],2,0)," ")</f>
        <v>BRANDON STEVEN ROMAN ALVAREZ</v>
      </c>
      <c r="C71" s="82" t="s">
        <v>148</v>
      </c>
      <c r="D71" s="88">
        <v>44759</v>
      </c>
    </row>
    <row r="72" spans="1:4" ht="16.5" thickTop="1" thickBot="1" x14ac:dyDescent="0.3">
      <c r="A72" s="84">
        <v>1053778053</v>
      </c>
      <c r="B72" s="81" t="str">
        <f>IF(A72&lt;&gt;0,VLOOKUP(Tabla5[[#This Row],[N° CEDULA]],[1]!BASE_DATOS[#Data],2,0)," ")</f>
        <v>CARLOS ARTURO GARCIA SANCHEZ</v>
      </c>
      <c r="C72" s="82" t="s">
        <v>148</v>
      </c>
      <c r="D72" s="88">
        <v>44759</v>
      </c>
    </row>
    <row r="73" spans="1:4" ht="16.5" thickTop="1" thickBot="1" x14ac:dyDescent="0.3">
      <c r="A73" s="84">
        <v>1007226948</v>
      </c>
      <c r="B73" s="81" t="str">
        <f>IF(A73&lt;&gt;0,VLOOKUP(Tabla5[[#This Row],[N° CEDULA]],[1]!BASE_DATOS[#Data],2,0)," ")</f>
        <v>ERIK GIOVANNY BARCO OCHOA</v>
      </c>
      <c r="C73" s="82" t="s">
        <v>148</v>
      </c>
      <c r="D73" s="88">
        <v>44759</v>
      </c>
    </row>
    <row r="74" spans="1:4" ht="16.5" thickTop="1" thickBot="1" x14ac:dyDescent="0.3">
      <c r="A74" s="84">
        <v>1051955164</v>
      </c>
      <c r="B74" s="81" t="str">
        <f>IF(A74&lt;&gt;0,VLOOKUP(Tabla5[[#This Row],[N° CEDULA]],[1]!BASE_DATOS[#Data],2,0)," ")</f>
        <v>FABIAN CAMILO GARAVITO RUBIO</v>
      </c>
      <c r="C74" s="82" t="s">
        <v>148</v>
      </c>
      <c r="D74" s="88">
        <v>44766</v>
      </c>
    </row>
    <row r="75" spans="1:4" ht="16.5" thickTop="1" thickBot="1" x14ac:dyDescent="0.3">
      <c r="A75" s="84">
        <v>1002637342</v>
      </c>
      <c r="B75" s="81" t="str">
        <f>IF(A75&lt;&gt;0,VLOOKUP(Tabla5[[#This Row],[N° CEDULA]],[1]!BASE_DATOS[#Data],2,0)," ")</f>
        <v>JOHAN ALEJANDRO PATIÑO RODRIGUEZ</v>
      </c>
      <c r="C75" s="82" t="s">
        <v>148</v>
      </c>
      <c r="D75" s="88">
        <v>44766</v>
      </c>
    </row>
    <row r="76" spans="1:4" ht="16.5" thickTop="1" thickBot="1" x14ac:dyDescent="0.3">
      <c r="A76" s="84">
        <v>1053839432</v>
      </c>
      <c r="B76" s="81" t="str">
        <f>IF(A76&lt;&gt;0,VLOOKUP(Tabla5[[#This Row],[N° CEDULA]],[1]!BASE_DATOS[#Data],2,0)," ")</f>
        <v>JOHANNES SEBASTIAN MARIN VILLEGAS</v>
      </c>
      <c r="C76" s="82" t="s">
        <v>148</v>
      </c>
      <c r="D76" s="88">
        <v>44759</v>
      </c>
    </row>
    <row r="77" spans="1:4" ht="16.5" thickTop="1" thickBot="1" x14ac:dyDescent="0.3">
      <c r="A77" s="84">
        <v>16070527</v>
      </c>
      <c r="B77" s="81" t="str">
        <f>IF(A77&lt;&gt;0,VLOOKUP(Tabla5[[#This Row],[N° CEDULA]],[1]!BASE_DATOS[#Data],2,0)," ")</f>
        <v>JULIO ENRIQUE TORRES RAMIREZ</v>
      </c>
      <c r="C77" s="82" t="s">
        <v>148</v>
      </c>
      <c r="D77" s="88">
        <v>44759</v>
      </c>
    </row>
    <row r="78" spans="1:4" ht="16.5" thickTop="1" thickBot="1" x14ac:dyDescent="0.3">
      <c r="A78" s="84">
        <v>1053874059</v>
      </c>
      <c r="B78" s="81" t="str">
        <f>IF(A78&lt;&gt;0,VLOOKUP(Tabla5[[#This Row],[N° CEDULA]],[1]!BASE_DATOS[#Data],2,0)," ")</f>
        <v>MATEO ISAZA OROZCO</v>
      </c>
      <c r="C78" s="82" t="s">
        <v>148</v>
      </c>
      <c r="D78" s="88">
        <v>44766</v>
      </c>
    </row>
    <row r="79" spans="1:4" ht="16.5" thickTop="1" thickBot="1" x14ac:dyDescent="0.3">
      <c r="A79" s="84">
        <v>1054858621</v>
      </c>
      <c r="B79" s="81" t="str">
        <f>IF(A79&lt;&gt;0,VLOOKUP(Tabla5[[#This Row],[N° CEDULA]],[1]!BASE_DATOS[#Data],2,0)," ")</f>
        <v>MIGUEL ANGEL GALVIS TORRES</v>
      </c>
      <c r="C79" s="82" t="s">
        <v>148</v>
      </c>
      <c r="D79" s="88">
        <v>44759</v>
      </c>
    </row>
    <row r="80" spans="1:4" ht="16.5" thickTop="1" thickBot="1" x14ac:dyDescent="0.3">
      <c r="A80" s="84">
        <v>1053872713</v>
      </c>
      <c r="B80" s="81" t="str">
        <f>IF(A80&lt;&gt;0,VLOOKUP(Tabla5[[#This Row],[N° CEDULA]],[1]!BASE_DATOS[#Data],2,0)," ")</f>
        <v>MILTON ANDRES MORALES RAMIREZ</v>
      </c>
      <c r="C80" s="82" t="s">
        <v>148</v>
      </c>
      <c r="D80" s="88">
        <v>44759</v>
      </c>
    </row>
    <row r="81" spans="1:4" ht="16.5" thickTop="1" thickBot="1" x14ac:dyDescent="0.3">
      <c r="A81" s="84">
        <v>1007231839</v>
      </c>
      <c r="B81" s="81" t="str">
        <f>IF(A81&lt;&gt;0,VLOOKUP(Tabla5[[#This Row],[N° CEDULA]],[1]!BASE_DATOS[#Data],2,0)," ")</f>
        <v xml:space="preserve">OSCAR STEVEN AGUIRRE TORRES </v>
      </c>
      <c r="C81" s="82" t="s">
        <v>148</v>
      </c>
      <c r="D81" s="88">
        <v>44759</v>
      </c>
    </row>
    <row r="82" spans="1:4" ht="16.5" thickTop="1" thickBot="1" x14ac:dyDescent="0.3">
      <c r="A82" s="84">
        <v>1007235081</v>
      </c>
      <c r="B82" s="81" t="str">
        <f>IF(A82&lt;&gt;0,VLOOKUP(Tabla5[[#This Row],[N° CEDULA]],[1]!BASE_DATOS[#Data],2,0)," ")</f>
        <v>CAMILO ANDRES CASTAÑO CANDAMIL</v>
      </c>
      <c r="C82" s="82" t="s">
        <v>204</v>
      </c>
      <c r="D82" s="88">
        <v>44766</v>
      </c>
    </row>
    <row r="83" spans="1:4" ht="16.5" thickTop="1" thickBot="1" x14ac:dyDescent="0.3">
      <c r="A83" s="84">
        <v>1060649936</v>
      </c>
      <c r="B83" s="81" t="str">
        <f>IF(A83&lt;&gt;0,VLOOKUP(Tabla5[[#This Row],[N° CEDULA]],[1]!BASE_DATOS[#Data],2,0)," ")</f>
        <v>DIEGO FERNANDO OSORIO HERRERA</v>
      </c>
      <c r="C83" s="82" t="s">
        <v>204</v>
      </c>
      <c r="D83" s="88">
        <v>44766</v>
      </c>
    </row>
    <row r="84" spans="1:4" ht="16.5" thickTop="1" thickBot="1" x14ac:dyDescent="0.3">
      <c r="A84" s="84">
        <v>1060651259</v>
      </c>
      <c r="B84" s="81" t="str">
        <f>IF(A84&lt;&gt;0,VLOOKUP(Tabla5[[#This Row],[N° CEDULA]],[1]!BASE_DATOS[#Data],2,0)," ")</f>
        <v>FRANCISCO ANTONIO HENAO DUQUE</v>
      </c>
      <c r="C84" s="82" t="s">
        <v>204</v>
      </c>
      <c r="D84" s="88">
        <v>44766</v>
      </c>
    </row>
    <row r="85" spans="1:4" ht="16.5" thickTop="1" thickBot="1" x14ac:dyDescent="0.3">
      <c r="A85" s="84">
        <v>1053841363</v>
      </c>
      <c r="B85" s="81" t="str">
        <f>IF(A85&lt;&gt;0,VLOOKUP(Tabla5[[#This Row],[N° CEDULA]],[1]!BASE_DATOS[#Data],2,0)," ")</f>
        <v>JHON ALEXANDER TIBADUIZA TORO</v>
      </c>
      <c r="C85" s="82" t="s">
        <v>204</v>
      </c>
      <c r="D85" s="88">
        <v>44766</v>
      </c>
    </row>
    <row r="86" spans="1:4" ht="16.5" thickTop="1" thickBot="1" x14ac:dyDescent="0.3">
      <c r="A86" s="84">
        <v>1060652740</v>
      </c>
      <c r="B86" s="81" t="str">
        <f>IF(A86&lt;&gt;0,VLOOKUP(Tabla5[[#This Row],[N° CEDULA]],[1]!BASE_DATOS[#Data],2,0)," ")</f>
        <v>JHON EDISSON HERRERA AGUDELO</v>
      </c>
      <c r="C86" s="82" t="s">
        <v>204</v>
      </c>
      <c r="D86" s="88">
        <v>44766</v>
      </c>
    </row>
    <row r="87" spans="1:4" ht="16.5" thickTop="1" thickBot="1" x14ac:dyDescent="0.3">
      <c r="A87" s="84">
        <v>1054856770</v>
      </c>
      <c r="B87" s="81" t="str">
        <f>IF(A87&lt;&gt;0,VLOOKUP(Tabla5[[#This Row],[N° CEDULA]],[1]!BASE_DATOS[#Data],2,0)," ")</f>
        <v>JUAN ANDRES OCAMPO ANGEL</v>
      </c>
      <c r="C87" s="82" t="s">
        <v>204</v>
      </c>
      <c r="D87" s="88">
        <v>44766</v>
      </c>
    </row>
    <row r="88" spans="1:4" ht="16.5" thickTop="1" thickBot="1" x14ac:dyDescent="0.3">
      <c r="A88" s="84">
        <v>1053837916</v>
      </c>
      <c r="B88" s="81" t="str">
        <f>IF(A88&lt;&gt;0,VLOOKUP(Tabla5[[#This Row],[N° CEDULA]],[1]!BASE_DATOS[#Data],2,0)," ")</f>
        <v xml:space="preserve">JUAN DAVID SANCHEZ ZAPATA </v>
      </c>
      <c r="C88" s="82" t="s">
        <v>204</v>
      </c>
      <c r="D88" s="88">
        <v>44766</v>
      </c>
    </row>
    <row r="89" spans="1:4" ht="16.5" thickTop="1" thickBot="1" x14ac:dyDescent="0.3">
      <c r="A89" s="84">
        <v>75092138</v>
      </c>
      <c r="B89" s="81" t="str">
        <f>IF(A89&lt;&gt;0,VLOOKUP(Tabla5[[#This Row],[N° CEDULA]],[1]!BASE_DATOS[#Data],2,0)," ")</f>
        <v>LEONARDO FABIO ARENAS RAMIREZ</v>
      </c>
      <c r="C89" s="82" t="s">
        <v>204</v>
      </c>
      <c r="D89" s="88">
        <v>44766</v>
      </c>
    </row>
    <row r="90" spans="1:4" ht="16.5" thickTop="1" thickBot="1" x14ac:dyDescent="0.3">
      <c r="A90" s="84">
        <v>1007227109</v>
      </c>
      <c r="B90" s="81" t="str">
        <f>IF(A90&lt;&gt;0,VLOOKUP(Tabla5[[#This Row],[N° CEDULA]],[1]!BASE_DATOS[#Data],2,0)," ")</f>
        <v>ALEXIS GOMEZ ROJAS</v>
      </c>
      <c r="C90" s="82" t="s">
        <v>145</v>
      </c>
      <c r="D90" s="88">
        <v>44766</v>
      </c>
    </row>
    <row r="91" spans="1:4" ht="16.5" thickTop="1" thickBot="1" x14ac:dyDescent="0.3">
      <c r="A91" s="84">
        <v>1053864854</v>
      </c>
      <c r="B91" s="81" t="str">
        <f>IF(A91&lt;&gt;0,VLOOKUP(Tabla5[[#This Row],[N° CEDULA]],[1]!BASE_DATOS[#Data],2,0)," ")</f>
        <v xml:space="preserve">ALVARO ANDRES PEREZ SANCHEZ </v>
      </c>
      <c r="C91" s="82" t="s">
        <v>145</v>
      </c>
      <c r="D91" s="88">
        <v>44766</v>
      </c>
    </row>
    <row r="92" spans="1:4" ht="16.5" thickTop="1" thickBot="1" x14ac:dyDescent="0.3">
      <c r="A92" s="84">
        <v>1002591549</v>
      </c>
      <c r="B92" s="81" t="str">
        <f>IF(A92&lt;&gt;0,VLOOKUP(Tabla5[[#This Row],[N° CEDULA]],[1]!BASE_DATOS[#Data],2,0)," ")</f>
        <v>BRAHIAN STIVEN ECHEVERRY QUINTANA</v>
      </c>
      <c r="C92" s="82" t="s">
        <v>145</v>
      </c>
      <c r="D92" s="88">
        <v>44766</v>
      </c>
    </row>
    <row r="93" spans="1:4" ht="16.5" thickTop="1" thickBot="1" x14ac:dyDescent="0.3">
      <c r="A93" s="84">
        <v>1053871334</v>
      </c>
      <c r="B93" s="81" t="str">
        <f>IF(A93&lt;&gt;0,VLOOKUP(Tabla5[[#This Row],[N° CEDULA]],[1]!BASE_DATOS[#Data],2,0)," ")</f>
        <v>CARLOS FELIPE LOPEZ MONTOYA</v>
      </c>
      <c r="C93" s="82" t="s">
        <v>145</v>
      </c>
      <c r="D93" s="88">
        <v>44766</v>
      </c>
    </row>
    <row r="94" spans="1:4" ht="16.5" thickTop="1" thickBot="1" x14ac:dyDescent="0.3">
      <c r="A94" s="84">
        <v>1007231631</v>
      </c>
      <c r="B94" s="81" t="str">
        <f>IF(A94&lt;&gt;0,VLOOKUP(Tabla5[[#This Row],[N° CEDULA]],[1]!BASE_DATOS[#Data],2,0)," ")</f>
        <v>DIEGO ALEJANDRO HENAO LOAIZA</v>
      </c>
      <c r="C94" s="82" t="s">
        <v>145</v>
      </c>
      <c r="D94" s="88">
        <v>44766</v>
      </c>
    </row>
    <row r="95" spans="1:4" ht="16.5" thickTop="1" thickBot="1" x14ac:dyDescent="0.3">
      <c r="A95" s="84">
        <v>1010131368</v>
      </c>
      <c r="B95" s="81" t="str">
        <f>IF(A95&lt;&gt;0,VLOOKUP(Tabla5[[#This Row],[N° CEDULA]],[1]!BASE_DATOS[#Data],2,0)," ")</f>
        <v>JAKSON ESTIVEN HENAO OCAMPO</v>
      </c>
      <c r="C95" s="82" t="s">
        <v>145</v>
      </c>
      <c r="D95" s="88">
        <v>44766</v>
      </c>
    </row>
    <row r="96" spans="1:4" ht="16.5" thickTop="1" thickBot="1" x14ac:dyDescent="0.3">
      <c r="A96" s="84">
        <v>1053784595</v>
      </c>
      <c r="B96" s="81" t="str">
        <f>IF(A96&lt;&gt;0,VLOOKUP(Tabla5[[#This Row],[N° CEDULA]],[1]!BASE_DATOS[#Data],2,0)," ")</f>
        <v>JOHNATAN ARLEY VALENCIA PARRA</v>
      </c>
      <c r="C96" s="82" t="s">
        <v>145</v>
      </c>
      <c r="D96" s="88">
        <v>44766</v>
      </c>
    </row>
    <row r="97" spans="1:4" ht="16.5" thickTop="1" thickBot="1" x14ac:dyDescent="0.3">
      <c r="A97" s="84">
        <v>1007234779</v>
      </c>
      <c r="B97" s="81" t="str">
        <f>IF(A97&lt;&gt;0,VLOOKUP(Tabla5[[#This Row],[N° CEDULA]],[1]!BASE_DATOS[#Data],2,0)," ")</f>
        <v>JUAN SEBASTIAN SIPAGAUTA TREJOS</v>
      </c>
      <c r="C97" s="82" t="s">
        <v>145</v>
      </c>
      <c r="D97" s="88">
        <v>44766</v>
      </c>
    </row>
    <row r="98" spans="1:4" ht="16.5" thickTop="1" thickBot="1" x14ac:dyDescent="0.3">
      <c r="A98" s="84">
        <v>1053851256</v>
      </c>
      <c r="B98" s="81" t="str">
        <f>IF(A98&lt;&gt;0,VLOOKUP(Tabla5[[#This Row],[N° CEDULA]],[1]!BASE_DATOS[#Data],2,0)," ")</f>
        <v>YESAIDER LOAIZA OSPINA</v>
      </c>
      <c r="C98" s="82" t="s">
        <v>145</v>
      </c>
      <c r="D98" s="88">
        <v>44766</v>
      </c>
    </row>
    <row r="99" spans="1:4" ht="16.5" thickTop="1" thickBot="1" x14ac:dyDescent="0.3">
      <c r="A99" s="84">
        <v>1053798091</v>
      </c>
      <c r="B99" s="81" t="str">
        <f>IF(A99&lt;&gt;0,VLOOKUP(Tabla5[[#This Row],[N° CEDULA]],[1]!BASE_DATOS[#Data],2,0)," ")</f>
        <v>ALEXIS PEREZ VALENCIA</v>
      </c>
      <c r="C99" s="82" t="s">
        <v>165</v>
      </c>
      <c r="D99" s="88">
        <v>44765</v>
      </c>
    </row>
    <row r="100" spans="1:4" ht="16.5" thickTop="1" thickBot="1" x14ac:dyDescent="0.3">
      <c r="A100" s="84">
        <v>1053849084</v>
      </c>
      <c r="B100" s="81" t="str">
        <f>IF(A100&lt;&gt;0,VLOOKUP(Tabla5[[#This Row],[N° CEDULA]],[1]!BASE_DATOS[#Data],2,0)," ")</f>
        <v xml:space="preserve">ANDRES CAMILO HIDALGO GARCIA </v>
      </c>
      <c r="C100" s="82" t="s">
        <v>165</v>
      </c>
      <c r="D100" s="88">
        <v>44765</v>
      </c>
    </row>
    <row r="101" spans="1:4" ht="16.5" thickTop="1" thickBot="1" x14ac:dyDescent="0.3">
      <c r="A101" s="84">
        <v>1060652971</v>
      </c>
      <c r="B101" s="81" t="str">
        <f>IF(A101&lt;&gt;0,VLOOKUP(Tabla5[[#This Row],[N° CEDULA]],[1]!BASE_DATOS[#Data],2,0)," ")</f>
        <v>ANDRES FELIPE MAPURA OSORIO</v>
      </c>
      <c r="C101" s="82" t="s">
        <v>165</v>
      </c>
      <c r="D101" s="88">
        <v>44765</v>
      </c>
    </row>
    <row r="102" spans="1:4" ht="16.5" thickTop="1" thickBot="1" x14ac:dyDescent="0.3">
      <c r="A102" s="84">
        <v>1060650696</v>
      </c>
      <c r="B102" s="81" t="str">
        <f>IF(A102&lt;&gt;0,VLOOKUP(Tabla5[[#This Row],[N° CEDULA]],[1]!BASE_DATOS[#Data],2,0)," ")</f>
        <v>DANNY QUINTERO OSPINA</v>
      </c>
      <c r="C102" s="82" t="s">
        <v>165</v>
      </c>
      <c r="D102" s="88">
        <v>44765</v>
      </c>
    </row>
    <row r="103" spans="1:4" ht="16.5" thickTop="1" thickBot="1" x14ac:dyDescent="0.3">
      <c r="A103" s="84">
        <v>1053852366</v>
      </c>
      <c r="B103" s="81" t="str">
        <f>IF(A103&lt;&gt;0,VLOOKUP(Tabla5[[#This Row],[N° CEDULA]],[1]!BASE_DATOS[#Data],2,0)," ")</f>
        <v xml:space="preserve">JEISON ALEXIS VALENCIA VALENCIA </v>
      </c>
      <c r="C103" s="82" t="s">
        <v>165</v>
      </c>
      <c r="D103" s="88">
        <v>44765</v>
      </c>
    </row>
    <row r="104" spans="1:4" ht="16.5" thickTop="1" thickBot="1" x14ac:dyDescent="0.3">
      <c r="A104" s="84">
        <v>16079326</v>
      </c>
      <c r="B104" s="81" t="str">
        <f>IF(A104&lt;&gt;0,VLOOKUP(Tabla5[[#This Row],[N° CEDULA]],[1]!BASE_DATOS[#Data],2,0)," ")</f>
        <v>JOSE YESID QUINTERO BOHORQUEZ</v>
      </c>
      <c r="C104" s="82" t="s">
        <v>165</v>
      </c>
      <c r="D104" s="88">
        <v>44765</v>
      </c>
    </row>
    <row r="105" spans="1:4" ht="16.5" thickTop="1" thickBot="1" x14ac:dyDescent="0.3">
      <c r="A105" s="84">
        <v>1060653353</v>
      </c>
      <c r="B105" s="81" t="str">
        <f>IF(A105&lt;&gt;0,VLOOKUP(Tabla5[[#This Row],[N° CEDULA]],[1]!BASE_DATOS[#Data],2,0)," ")</f>
        <v>JUAN CARLOS FRANCO MARTINEZ</v>
      </c>
      <c r="C105" s="82" t="s">
        <v>165</v>
      </c>
      <c r="D105" s="88">
        <v>44765</v>
      </c>
    </row>
    <row r="106" spans="1:4" ht="16.5" thickTop="1" thickBot="1" x14ac:dyDescent="0.3">
      <c r="A106" s="84">
        <v>1053814553</v>
      </c>
      <c r="B106" s="81" t="str">
        <f>IF(A106&lt;&gt;0,VLOOKUP(Tabla5[[#This Row],[N° CEDULA]],[1]!BASE_DATOS[#Data],2,0)," ")</f>
        <v>JUAN DAVID GIRALDO HERRERA</v>
      </c>
      <c r="C106" s="82" t="s">
        <v>165</v>
      </c>
      <c r="D106" s="88">
        <v>44765</v>
      </c>
    </row>
    <row r="107" spans="1:4" ht="16.5" thickTop="1" thickBot="1" x14ac:dyDescent="0.3">
      <c r="A107" s="84">
        <v>1053863459</v>
      </c>
      <c r="B107" s="81" t="str">
        <f>IF(A107&lt;&gt;0,VLOOKUP(Tabla5[[#This Row],[N° CEDULA]],[1]!BASE_DATOS[#Data],2,0)," ")</f>
        <v>JUAN ESTEBAN RESTREPO CASTELLANOS</v>
      </c>
      <c r="C107" s="82" t="s">
        <v>165</v>
      </c>
      <c r="D107" s="88">
        <v>44765</v>
      </c>
    </row>
    <row r="108" spans="1:4" ht="16.5" thickTop="1" thickBot="1" x14ac:dyDescent="0.3">
      <c r="A108" s="84">
        <v>1053868051</v>
      </c>
      <c r="B108" s="81" t="str">
        <f>IF(A108&lt;&gt;0,VLOOKUP(Tabla5[[#This Row],[N° CEDULA]],[1]!BASE_DATOS[#Data],2,0)," ")</f>
        <v>JUAN MANUEL LONDOÑO ZAPATA</v>
      </c>
      <c r="C108" s="82" t="s">
        <v>165</v>
      </c>
      <c r="D108" s="88">
        <v>44765</v>
      </c>
    </row>
    <row r="109" spans="1:4" ht="16.5" thickTop="1" thickBot="1" x14ac:dyDescent="0.3">
      <c r="A109" s="84">
        <v>1053814351</v>
      </c>
      <c r="B109" s="81" t="str">
        <f>IF(A109&lt;&gt;0,VLOOKUP(Tabla5[[#This Row],[N° CEDULA]],[1]!BASE_DATOS[#Data],2,0)," ")</f>
        <v>JULIAN ANDRES GIRALDO HERRERA</v>
      </c>
      <c r="C109" s="82" t="s">
        <v>165</v>
      </c>
      <c r="D109" s="88">
        <v>44765</v>
      </c>
    </row>
    <row r="110" spans="1:4" ht="16.5" thickTop="1" thickBot="1" x14ac:dyDescent="0.3">
      <c r="A110" s="84">
        <v>1053827657</v>
      </c>
      <c r="B110" s="81" t="str">
        <f>IF(A110&lt;&gt;0,VLOOKUP(Tabla5[[#This Row],[N° CEDULA]],[1]!BASE_DATOS[#Data],2,0)," ")</f>
        <v>LUIS ALEJANDRO PUERTA GALVEZ</v>
      </c>
      <c r="C110" s="82" t="s">
        <v>165</v>
      </c>
      <c r="D110" s="88">
        <v>44765</v>
      </c>
    </row>
    <row r="111" spans="1:4" ht="16.5" thickTop="1" thickBot="1" x14ac:dyDescent="0.3">
      <c r="A111" s="84">
        <v>1053821876</v>
      </c>
      <c r="B111" s="81" t="str">
        <f>IF(A111&lt;&gt;0,VLOOKUP(Tabla5[[#This Row],[N° CEDULA]],[1]!BASE_DATOS[#Data],2,0)," ")</f>
        <v>ANDRES FELIPE OSORIO SANCHEZ</v>
      </c>
      <c r="C111" s="82" t="s">
        <v>171</v>
      </c>
      <c r="D111" s="88">
        <v>44759</v>
      </c>
    </row>
    <row r="112" spans="1:4" ht="16.5" thickTop="1" thickBot="1" x14ac:dyDescent="0.3">
      <c r="A112" s="84">
        <v>1053801193</v>
      </c>
      <c r="B112" s="81" t="str">
        <f>IF(A112&lt;&gt;0,VLOOKUP(Tabla5[[#This Row],[N° CEDULA]],[1]!BASE_DATOS[#Data],2,0)," ")</f>
        <v>CARLOS EDUARDO ERAZO</v>
      </c>
      <c r="C112" s="82" t="s">
        <v>171</v>
      </c>
      <c r="D112" s="88">
        <v>44759</v>
      </c>
    </row>
    <row r="113" spans="1:4" ht="16.5" thickTop="1" thickBot="1" x14ac:dyDescent="0.3">
      <c r="A113" s="84">
        <v>1053835904</v>
      </c>
      <c r="B113" s="81" t="str">
        <f>IF(A113&lt;&gt;0,VLOOKUP(Tabla5[[#This Row],[N° CEDULA]],[1]!BASE_DATOS[#Data],2,0)," ")</f>
        <v>CRISTIAN ALEJANDRO MORALES ERAZO</v>
      </c>
      <c r="C113" s="82" t="s">
        <v>171</v>
      </c>
      <c r="D113" s="88">
        <v>44759</v>
      </c>
    </row>
    <row r="114" spans="1:4" ht="16.5" thickTop="1" thickBot="1" x14ac:dyDescent="0.3">
      <c r="A114" s="84">
        <v>1053845451</v>
      </c>
      <c r="B114" s="81" t="str">
        <f>IF(A114&lt;&gt;0,VLOOKUP(Tabla5[[#This Row],[N° CEDULA]],[1]!BASE_DATOS[#Data],2,0)," ")</f>
        <v>DAVID MAURICIO OSORIO GIRALDO</v>
      </c>
      <c r="C114" s="82" t="s">
        <v>171</v>
      </c>
      <c r="D114" s="88">
        <v>44759</v>
      </c>
    </row>
    <row r="115" spans="1:4" ht="16.5" thickTop="1" thickBot="1" x14ac:dyDescent="0.3">
      <c r="A115" s="84">
        <v>1007233434</v>
      </c>
      <c r="B115" s="81" t="str">
        <f>IF(A115&lt;&gt;0,VLOOKUP(Tabla5[[#This Row],[N° CEDULA]],[1]!BASE_DATOS[#Data],2,0)," ")</f>
        <v>HARRISON PALACIO LEON</v>
      </c>
      <c r="C115" s="82" t="s">
        <v>171</v>
      </c>
      <c r="D115" s="88">
        <v>44759</v>
      </c>
    </row>
    <row r="116" spans="1:4" ht="16.5" thickTop="1" thickBot="1" x14ac:dyDescent="0.3">
      <c r="A116" s="84">
        <v>1053826004</v>
      </c>
      <c r="B116" s="81" t="str">
        <f>IF(A116&lt;&gt;0,VLOOKUP(Tabla5[[#This Row],[N° CEDULA]],[1]!BASE_DATOS[#Data],2,0)," ")</f>
        <v>JESUS ANTONIO MUÑOZ SANCHEZ</v>
      </c>
      <c r="C116" s="82" t="s">
        <v>171</v>
      </c>
      <c r="D116" s="88">
        <v>44759</v>
      </c>
    </row>
    <row r="117" spans="1:4" ht="16.5" thickTop="1" thickBot="1" x14ac:dyDescent="0.3">
      <c r="A117" s="84">
        <v>1053834734</v>
      </c>
      <c r="B117" s="81" t="str">
        <f>IF(A117&lt;&gt;0,VLOOKUP(Tabla5[[#This Row],[N° CEDULA]],[1]!BASE_DATOS[#Data],2,0)," ")</f>
        <v>JOHN WILMAR LOPEZ PALACIOS</v>
      </c>
      <c r="C117" s="82" t="s">
        <v>171</v>
      </c>
      <c r="D117" s="88">
        <v>44759</v>
      </c>
    </row>
    <row r="118" spans="1:4" ht="16.5" thickTop="1" thickBot="1" x14ac:dyDescent="0.3">
      <c r="A118" s="84">
        <v>1010020505</v>
      </c>
      <c r="B118" s="81" t="str">
        <f>IF(A118&lt;&gt;0,VLOOKUP(Tabla5[[#This Row],[N° CEDULA]],[1]!BASE_DATOS[#Data],2,0)," ")</f>
        <v>SANTIAGO BOTERO SANCHEZ</v>
      </c>
      <c r="C118" s="82" t="s">
        <v>171</v>
      </c>
      <c r="D118" s="88">
        <v>44759</v>
      </c>
    </row>
    <row r="119" spans="1:4" ht="16.5" thickTop="1" thickBot="1" x14ac:dyDescent="0.3">
      <c r="A119" s="84">
        <v>1053873075</v>
      </c>
      <c r="B119" s="81" t="str">
        <f>IF(A119&lt;&gt;0,VLOOKUP(Tabla5[[#This Row],[N° CEDULA]],[1]!BASE_DATOS[#Data],2,0)," ")</f>
        <v>YON GENIS ARISTIZABAL TRUJILLO</v>
      </c>
      <c r="C119" s="82" t="s">
        <v>171</v>
      </c>
      <c r="D119" s="88">
        <v>44765</v>
      </c>
    </row>
    <row r="120" spans="1:4" ht="16.5" thickTop="1" thickBot="1" x14ac:dyDescent="0.3">
      <c r="A120" s="84">
        <v>1002635389</v>
      </c>
      <c r="B120" s="81" t="str">
        <f>IF(A120&lt;&gt;0,VLOOKUP(Tabla5[[#This Row],[N° CEDULA]],[1]!BASE_DATOS[#Data],2,0)," ")</f>
        <v>ALEJANDRO DUQUE RODRIGUEZ</v>
      </c>
      <c r="C120" s="82" t="s">
        <v>102</v>
      </c>
      <c r="D120" s="88">
        <v>44759</v>
      </c>
    </row>
    <row r="121" spans="1:4" ht="16.5" thickTop="1" thickBot="1" x14ac:dyDescent="0.3">
      <c r="A121" s="84">
        <v>1149184101</v>
      </c>
      <c r="B121" s="81" t="str">
        <f>IF(A121&lt;&gt;0,VLOOKUP(Tabla5[[#This Row],[N° CEDULA]],[1]!BASE_DATOS[#Data],2,0)," ")</f>
        <v>ANDRES FELIPE CARMONA ROJAS</v>
      </c>
      <c r="C121" s="82" t="s">
        <v>102</v>
      </c>
      <c r="D121" s="88">
        <v>44759</v>
      </c>
    </row>
    <row r="122" spans="1:4" ht="16.5" thickTop="1" thickBot="1" x14ac:dyDescent="0.3">
      <c r="A122" s="84">
        <v>1053768246</v>
      </c>
      <c r="B122" s="81" t="str">
        <f>IF(A122&lt;&gt;0,VLOOKUP(Tabla5[[#This Row],[N° CEDULA]],[1]!BASE_DATOS[#Data],2,0)," ")</f>
        <v xml:space="preserve">CARLOS EDUARDO OBANDO VALLEJO </v>
      </c>
      <c r="C122" s="82" t="s">
        <v>102</v>
      </c>
      <c r="D122" s="88">
        <v>44765</v>
      </c>
    </row>
    <row r="123" spans="1:4" ht="16.5" thickTop="1" thickBot="1" x14ac:dyDescent="0.3">
      <c r="A123" s="84">
        <v>1053794133</v>
      </c>
      <c r="B123" s="81" t="str">
        <f>IF(A123&lt;&gt;0,VLOOKUP(Tabla5[[#This Row],[N° CEDULA]],[1]!BASE_DATOS[#Data],2,0)," ")</f>
        <v>FERNANDO BUITRAGO CARMONA</v>
      </c>
      <c r="C123" s="82" t="s">
        <v>102</v>
      </c>
      <c r="D123" s="88">
        <v>44759</v>
      </c>
    </row>
    <row r="124" spans="1:4" ht="16.5" thickTop="1" thickBot="1" x14ac:dyDescent="0.3">
      <c r="A124" s="84">
        <v>1053773715</v>
      </c>
      <c r="B124" s="81" t="str">
        <f>IF(A124&lt;&gt;0,VLOOKUP(Tabla5[[#This Row],[N° CEDULA]],[1]!BASE_DATOS[#Data],2,0)," ")</f>
        <v>JHON FREDY SANCHEZ CARDENAS</v>
      </c>
      <c r="C124" s="82" t="s">
        <v>102</v>
      </c>
      <c r="D124" s="88">
        <v>44759</v>
      </c>
    </row>
    <row r="125" spans="1:4" ht="16.5" thickTop="1" thickBot="1" x14ac:dyDescent="0.3">
      <c r="A125" s="84">
        <v>75073189</v>
      </c>
      <c r="B125" s="81" t="str">
        <f>IF(A125&lt;&gt;0,VLOOKUP(Tabla5[[#This Row],[N° CEDULA]],[1]!BASE_DATOS[#Data],2,0)," ")</f>
        <v>JHON JAIRO CEBALLOS GIRALDO</v>
      </c>
      <c r="C125" s="82" t="s">
        <v>102</v>
      </c>
      <c r="D125" s="88">
        <v>44759</v>
      </c>
    </row>
    <row r="126" spans="1:4" ht="16.5" thickTop="1" thickBot="1" x14ac:dyDescent="0.3">
      <c r="A126" s="84">
        <v>1088005875</v>
      </c>
      <c r="B126" s="81" t="str">
        <f>IF(A126&lt;&gt;0,VLOOKUP(Tabla5[[#This Row],[N° CEDULA]],[1]!BASE_DATOS[#Data],2,0)," ")</f>
        <v xml:space="preserve">JONATHAN ALEXANDER BEDOYA PARRA </v>
      </c>
      <c r="C126" s="82" t="s">
        <v>102</v>
      </c>
      <c r="D126" s="88">
        <v>44765</v>
      </c>
    </row>
    <row r="127" spans="1:4" ht="16.5" thickTop="1" thickBot="1" x14ac:dyDescent="0.3">
      <c r="A127" s="84">
        <v>16073521</v>
      </c>
      <c r="B127" s="81" t="str">
        <f>IF(A127&lt;&gt;0,VLOOKUP(Tabla5[[#This Row],[N° CEDULA]],[1]!BASE_DATOS[#Data],2,0)," ")</f>
        <v>JOSE FERNEY CORTES MONTOYA</v>
      </c>
      <c r="C127" s="82" t="s">
        <v>102</v>
      </c>
      <c r="D127" s="88">
        <v>44765</v>
      </c>
    </row>
    <row r="128" spans="1:4" ht="16.5" thickTop="1" thickBot="1" x14ac:dyDescent="0.3">
      <c r="A128" s="84">
        <v>1053817025</v>
      </c>
      <c r="B128" s="81" t="str">
        <f>IF(A128&lt;&gt;0,VLOOKUP(Tabla5[[#This Row],[N° CEDULA]],[1]!BASE_DATOS[#Data],2,0)," ")</f>
        <v xml:space="preserve">JUAN DAVID GALLEGO GALLEGO </v>
      </c>
      <c r="C128" s="82" t="s">
        <v>102</v>
      </c>
      <c r="D128" s="88">
        <v>44759</v>
      </c>
    </row>
    <row r="129" spans="1:4" ht="16.5" thickTop="1" thickBot="1" x14ac:dyDescent="0.3">
      <c r="A129" s="84">
        <v>16072777</v>
      </c>
      <c r="B129" s="81" t="str">
        <f>IF(A129&lt;&gt;0,VLOOKUP(Tabla5[[#This Row],[N° CEDULA]],[1]!BASE_DATOS[#Data],2,0)," ")</f>
        <v>LUIS ORLANDO CARMONA CARDONA</v>
      </c>
      <c r="C129" s="82" t="s">
        <v>102</v>
      </c>
      <c r="D129" s="88">
        <v>44765</v>
      </c>
    </row>
    <row r="130" spans="1:4" ht="16.5" thickTop="1" thickBot="1" x14ac:dyDescent="0.3">
      <c r="A130" s="84">
        <v>1053845162</v>
      </c>
      <c r="B130" s="81" t="str">
        <f>IF(A130&lt;&gt;0,VLOOKUP(Tabla5[[#This Row],[N° CEDULA]],[1]!BASE_DATOS[#Data],2,0)," ")</f>
        <v>MATEO TRUJILLO SERNA</v>
      </c>
      <c r="C130" s="82" t="s">
        <v>102</v>
      </c>
      <c r="D130" s="88">
        <v>44765</v>
      </c>
    </row>
    <row r="131" spans="1:4" ht="16.5" thickTop="1" thickBot="1" x14ac:dyDescent="0.3">
      <c r="A131" s="84">
        <v>1053839959</v>
      </c>
      <c r="B131" s="81" t="str">
        <f>IF(A131&lt;&gt;0,VLOOKUP(Tabla5[[#This Row],[N° CEDULA]],[1]!BASE_DATOS[#Data],2,0)," ")</f>
        <v>SANTIAGO PATIÑO GIRALDO</v>
      </c>
      <c r="C131" s="82" t="s">
        <v>102</v>
      </c>
      <c r="D131" s="88">
        <v>44765</v>
      </c>
    </row>
    <row r="132" spans="1:4" ht="16.5" thickTop="1" thickBot="1" x14ac:dyDescent="0.3">
      <c r="A132" s="84">
        <v>1053858733</v>
      </c>
      <c r="B132" s="81" t="str">
        <f>IF(A132&lt;&gt;0,VLOOKUP(Tabla5[[#This Row],[N° CEDULA]],[1]!BASE_DATOS[#Data],2,0)," ")</f>
        <v>WUILKIN DANIEL GONZALEZ CARDENAS</v>
      </c>
      <c r="C132" s="82" t="s">
        <v>102</v>
      </c>
      <c r="D132" s="88">
        <v>44759</v>
      </c>
    </row>
    <row r="133" spans="1:4" ht="16.5" thickTop="1" thickBot="1" x14ac:dyDescent="0.3">
      <c r="A133" s="84">
        <v>1053816203</v>
      </c>
      <c r="B133" s="81" t="str">
        <f>IF(A133&lt;&gt;0,VLOOKUP(Tabla5[[#This Row],[N° CEDULA]],[1]!BASE_DATOS[#Data],2,0)," ")</f>
        <v>ANDRES CAMILO SUAREZ VANEGAS</v>
      </c>
      <c r="C133" s="82" t="s">
        <v>153</v>
      </c>
      <c r="D133" s="88">
        <v>44759</v>
      </c>
    </row>
    <row r="134" spans="1:4" ht="16.5" thickTop="1" thickBot="1" x14ac:dyDescent="0.3">
      <c r="A134" s="84">
        <v>1053865255</v>
      </c>
      <c r="B134" s="81" t="str">
        <f>IF(A134&lt;&gt;0,VLOOKUP(Tabla5[[#This Row],[N° CEDULA]],[1]!BASE_DATOS[#Data],2,0)," ")</f>
        <v>ANDRES SEBASTIAN MARTINEZ HURTADO</v>
      </c>
      <c r="C134" s="82" t="s">
        <v>153</v>
      </c>
      <c r="D134" s="88">
        <v>44759</v>
      </c>
    </row>
    <row r="135" spans="1:4" ht="16.5" thickTop="1" thickBot="1" x14ac:dyDescent="0.3">
      <c r="A135" s="84">
        <v>1053828182</v>
      </c>
      <c r="B135" s="81" t="str">
        <f>IF(A135&lt;&gt;0,VLOOKUP(Tabla5[[#This Row],[N° CEDULA]],[1]!BASE_DATOS[#Data],2,0)," ")</f>
        <v>CRISTIAN GEOVANNY GOMEZ DUQUE</v>
      </c>
      <c r="C135" s="82" t="s">
        <v>153</v>
      </c>
      <c r="D135" s="88">
        <v>44766</v>
      </c>
    </row>
    <row r="136" spans="1:4" ht="16.5" thickTop="1" thickBot="1" x14ac:dyDescent="0.3">
      <c r="A136" s="84">
        <v>1058819771</v>
      </c>
      <c r="B136" s="81" t="str">
        <f>IF(A136&lt;&gt;0,VLOOKUP(Tabla5[[#This Row],[N° CEDULA]],[1]!BASE_DATOS[#Data],2,0)," ")</f>
        <v>DANIEL ANDRES ESPINOSA GOMEZ</v>
      </c>
      <c r="C136" s="82" t="s">
        <v>153</v>
      </c>
      <c r="D136" s="88">
        <v>44759</v>
      </c>
    </row>
    <row r="137" spans="1:4" ht="16.5" thickTop="1" thickBot="1" x14ac:dyDescent="0.3">
      <c r="A137" s="84">
        <v>1053819695</v>
      </c>
      <c r="B137" s="81" t="str">
        <f>IF(A137&lt;&gt;0,VLOOKUP(Tabla5[[#This Row],[N° CEDULA]],[1]!BASE_DATOS[#Data],2,0)," ")</f>
        <v>DAVID EDUARDO ALBARRACIN TAMAYO</v>
      </c>
      <c r="C137" s="82" t="s">
        <v>153</v>
      </c>
      <c r="D137" s="88">
        <v>44759</v>
      </c>
    </row>
    <row r="138" spans="1:4" ht="16.5" thickTop="1" thickBot="1" x14ac:dyDescent="0.3">
      <c r="A138" s="84">
        <v>1007231237</v>
      </c>
      <c r="B138" s="81" t="str">
        <f>IF(A138&lt;&gt;0,VLOOKUP(Tabla5[[#This Row],[N° CEDULA]],[1]!BASE_DATOS[#Data],2,0)," ")</f>
        <v>JUAN CAMILO VELASQUEZ ALBARRACIN</v>
      </c>
      <c r="C138" s="82" t="s">
        <v>153</v>
      </c>
      <c r="D138" s="88">
        <v>44759</v>
      </c>
    </row>
    <row r="139" spans="1:4" ht="16.5" thickTop="1" thickBot="1" x14ac:dyDescent="0.3">
      <c r="A139" s="84">
        <v>1053822285</v>
      </c>
      <c r="B139" s="81" t="str">
        <f>IF(A139&lt;&gt;0,VLOOKUP(Tabla5[[#This Row],[N° CEDULA]],[1]!BASE_DATOS[#Data],2,0)," ")</f>
        <v>JUAN DANIEL GARCIA NARANJO</v>
      </c>
      <c r="C139" s="82" t="s">
        <v>153</v>
      </c>
      <c r="D139" s="88">
        <v>44759</v>
      </c>
    </row>
    <row r="140" spans="1:4" ht="16.5" thickTop="1" thickBot="1" x14ac:dyDescent="0.3">
      <c r="A140" s="84">
        <v>1002635777</v>
      </c>
      <c r="B140" s="81" t="str">
        <f>IF(A140&lt;&gt;0,VLOOKUP(Tabla5[[#This Row],[N° CEDULA]],[1]!BASE_DATOS[#Data],2,0)," ")</f>
        <v>JUAN DIEGO MONSALVE RODRIGUEZ</v>
      </c>
      <c r="C140" s="82" t="s">
        <v>153</v>
      </c>
      <c r="D140" s="88">
        <v>44766</v>
      </c>
    </row>
    <row r="141" spans="1:4" ht="16.5" thickTop="1" thickBot="1" x14ac:dyDescent="0.3">
      <c r="A141" s="84">
        <v>1053811465</v>
      </c>
      <c r="B141" s="81" t="str">
        <f>IF(A141&lt;&gt;0,VLOOKUP(Tabla5[[#This Row],[N° CEDULA]],[1]!BASE_DATOS[#Data],2,0)," ")</f>
        <v>JUAN DIEGO RODRIGUEZ JIMENEZ</v>
      </c>
      <c r="C141" s="82" t="s">
        <v>153</v>
      </c>
      <c r="D141" s="88">
        <v>44759</v>
      </c>
    </row>
    <row r="142" spans="1:4" ht="16.5" thickTop="1" thickBot="1" x14ac:dyDescent="0.3">
      <c r="A142" s="84">
        <v>75105438</v>
      </c>
      <c r="B142" s="81" t="str">
        <f>IF(A142&lt;&gt;0,VLOOKUP(Tabla5[[#This Row],[N° CEDULA]],[1]!BASE_DATOS[#Data],2,0)," ")</f>
        <v xml:space="preserve">JUAN ESTEBAN POLO MEDINA </v>
      </c>
      <c r="C142" s="82" t="s">
        <v>153</v>
      </c>
      <c r="D142" s="88">
        <v>44759</v>
      </c>
    </row>
    <row r="143" spans="1:4" ht="16.5" thickTop="1" thickBot="1" x14ac:dyDescent="0.3">
      <c r="A143" s="84">
        <v>1053790795</v>
      </c>
      <c r="B143" s="81" t="str">
        <f>IF(A143&lt;&gt;0,VLOOKUP(Tabla5[[#This Row],[N° CEDULA]],[1]!BASE_DATOS[#Data],2,0)," ")</f>
        <v>JULIAN ANDRES CASTELLANOS HERNANDEZ</v>
      </c>
      <c r="C143" s="82" t="s">
        <v>153</v>
      </c>
      <c r="D143" s="88">
        <v>44759</v>
      </c>
    </row>
    <row r="144" spans="1:4" ht="16.5" thickTop="1" thickBot="1" x14ac:dyDescent="0.3">
      <c r="A144" s="84">
        <v>1053771509</v>
      </c>
      <c r="B144" s="81" t="str">
        <f>IF(A144&lt;&gt;0,VLOOKUP(Tabla5[[#This Row],[N° CEDULA]],[1]!BASE_DATOS[#Data],2,0)," ")</f>
        <v>NODIER JOSE PINEDA VILLA</v>
      </c>
      <c r="C144" s="82" t="s">
        <v>153</v>
      </c>
      <c r="D144" s="88">
        <v>44759</v>
      </c>
    </row>
    <row r="145" spans="1:4" ht="16.5" thickTop="1" thickBot="1" x14ac:dyDescent="0.3">
      <c r="A145" s="84">
        <v>1053867276</v>
      </c>
      <c r="B145" s="81" t="str">
        <f>IF(A145&lt;&gt;0,VLOOKUP(Tabla5[[#This Row],[N° CEDULA]],[1]!BASE_DATOS[#Data],2,0)," ")</f>
        <v>BRAYAN STIVEN CORTES GRAJALES</v>
      </c>
      <c r="C145" s="82" t="s">
        <v>239</v>
      </c>
      <c r="D145" s="88">
        <v>44766</v>
      </c>
    </row>
    <row r="146" spans="1:4" ht="16.5" thickTop="1" thickBot="1" x14ac:dyDescent="0.3">
      <c r="A146" s="84">
        <v>1053806028</v>
      </c>
      <c r="B146" s="81" t="str">
        <f>IF(A146&lt;&gt;0,VLOOKUP(Tabla5[[#This Row],[N° CEDULA]],[1]!BASE_DATOS[#Data],2,0)," ")</f>
        <v>ELKIN DARWIN SOTO BLANDON</v>
      </c>
      <c r="C146" s="82" t="s">
        <v>239</v>
      </c>
      <c r="D146" s="88">
        <v>44766</v>
      </c>
    </row>
    <row r="147" spans="1:4" ht="16.5" thickTop="1" thickBot="1" x14ac:dyDescent="0.3">
      <c r="A147" s="84">
        <v>1053818971</v>
      </c>
      <c r="B147" s="81" t="str">
        <f>IF(A147&lt;&gt;0,VLOOKUP(Tabla5[[#This Row],[N° CEDULA]],[1]!BASE_DATOS[#Data],2,0)," ")</f>
        <v>FABIAN ANDRES HERNANDEZ OCAMPO</v>
      </c>
      <c r="C147" s="82" t="s">
        <v>239</v>
      </c>
      <c r="D147" s="88">
        <v>44766</v>
      </c>
    </row>
    <row r="148" spans="1:4" ht="16.5" thickTop="1" thickBot="1" x14ac:dyDescent="0.3">
      <c r="A148" s="84">
        <v>1007233339</v>
      </c>
      <c r="B148" s="81" t="str">
        <f>IF(A148&lt;&gt;0,VLOOKUP(Tabla5[[#This Row],[N° CEDULA]],[1]!BASE_DATOS[#Data],2,0)," ")</f>
        <v>JHOJAN STIVEN SOTO BLANDON</v>
      </c>
      <c r="C148" s="82" t="s">
        <v>239</v>
      </c>
      <c r="D148" s="88">
        <v>44766</v>
      </c>
    </row>
    <row r="149" spans="1:4" ht="16.5" thickTop="1" thickBot="1" x14ac:dyDescent="0.3">
      <c r="A149" s="84">
        <v>1106741291</v>
      </c>
      <c r="B149" s="81" t="str">
        <f>IF(A149&lt;&gt;0,VLOOKUP(Tabla5[[#This Row],[N° CEDULA]],[1]!BASE_DATOS[#Data],2,0)," ")</f>
        <v>KEVIN DUVAN VERGARA HORTUA</v>
      </c>
      <c r="C149" s="82" t="s">
        <v>239</v>
      </c>
      <c r="D149" s="88">
        <v>44766</v>
      </c>
    </row>
    <row r="150" spans="1:4" ht="16.5" thickTop="1" thickBot="1" x14ac:dyDescent="0.3">
      <c r="A150" s="84">
        <v>1007233922</v>
      </c>
      <c r="B150" s="81" t="str">
        <f>IF(A150&lt;&gt;0,VLOOKUP(Tabla5[[#This Row],[N° CEDULA]],[1]!BASE_DATOS[#Data],2,0)," ")</f>
        <v>SEBASTIAN GARCIA HORTUA</v>
      </c>
      <c r="C150" s="82" t="s">
        <v>239</v>
      </c>
      <c r="D150" s="88">
        <v>44766</v>
      </c>
    </row>
    <row r="151" spans="1:4" ht="16.5" thickTop="1" thickBot="1" x14ac:dyDescent="0.3">
      <c r="A151" s="84">
        <v>1053847871</v>
      </c>
      <c r="B151" s="81" t="str">
        <f>IF(A151&lt;&gt;0,VLOOKUP(Tabla5[[#This Row],[N° CEDULA]],[1]!BASE_DATOS[#Data],2,0)," ")</f>
        <v>SERGIO HERNANDEZ LOPEZ</v>
      </c>
      <c r="C151" s="82" t="s">
        <v>239</v>
      </c>
      <c r="D151" s="88">
        <v>44766</v>
      </c>
    </row>
    <row r="152" spans="1:4" ht="16.5" thickTop="1" thickBot="1" x14ac:dyDescent="0.3">
      <c r="A152" s="84">
        <v>1007233661</v>
      </c>
      <c r="B152" s="81" t="str">
        <f>IF(A152&lt;&gt;0,VLOOKUP(Tabla5[[#This Row],[N° CEDULA]],[1]!BASE_DATOS[#Data],2,0)," ")</f>
        <v>VICTOR MANUEL GARCIA SOTO</v>
      </c>
      <c r="C152" s="82" t="s">
        <v>239</v>
      </c>
      <c r="D152" s="88">
        <v>44766</v>
      </c>
    </row>
    <row r="153" spans="1:4" ht="16.5" thickTop="1" thickBot="1" x14ac:dyDescent="0.3">
      <c r="A153" s="84">
        <v>1053871663</v>
      </c>
      <c r="B153" s="81" t="str">
        <f>IF(A153&lt;&gt;0,VLOOKUP(Tabla5[[#This Row],[N° CEDULA]],[1]!BASE_DATOS[#Data],2,0)," ")</f>
        <v xml:space="preserve">VICTOR MANUEL ISAZA MEJIA </v>
      </c>
      <c r="C153" s="82" t="s">
        <v>239</v>
      </c>
      <c r="D153" s="88">
        <v>44766</v>
      </c>
    </row>
    <row r="154" spans="1:4" ht="16.5" thickTop="1" thickBot="1" x14ac:dyDescent="0.3">
      <c r="A154" s="84">
        <v>1053791247</v>
      </c>
      <c r="B154" s="81" t="str">
        <f>IF(A154&lt;&gt;0,VLOOKUP(Tabla5[[#This Row],[N° CEDULA]],[1]!BASE_DATOS[#Data],2,0)," ")</f>
        <v>ALEXANDER RAMIREZ RUIZ</v>
      </c>
      <c r="C154" s="82" t="s">
        <v>206</v>
      </c>
      <c r="D154" s="88">
        <v>44765</v>
      </c>
    </row>
    <row r="155" spans="1:4" ht="16.5" thickTop="1" x14ac:dyDescent="0.25">
      <c r="A155" s="84">
        <v>1053823490</v>
      </c>
      <c r="B155" s="81" t="str">
        <f>IF(A155&lt;&gt;0,VLOOKUP(Tabla5[[#This Row],[N° CEDULA]],[1]!BASE_DATOS[#Data],2,0)," ")</f>
        <v>CESAR AUGUSTO BETANCOURT POSADA</v>
      </c>
      <c r="C155" s="82" t="s">
        <v>206</v>
      </c>
      <c r="D155" s="88">
        <v>44765</v>
      </c>
    </row>
    <row r="156" spans="1:4" ht="16.5" thickTop="1" x14ac:dyDescent="0.25">
      <c r="A156" s="84">
        <v>9976154</v>
      </c>
      <c r="B156" s="81" t="str">
        <f>IF(A156&lt;&gt;0,VLOOKUP(Tabla5[[#This Row],[N° CEDULA]],[1]!BASE_DATOS[#Data],2,0)," ")</f>
        <v>DARIO FRANCO HURTADO</v>
      </c>
      <c r="C156" s="82" t="s">
        <v>206</v>
      </c>
      <c r="D156" s="88">
        <v>44765</v>
      </c>
    </row>
    <row r="157" spans="1:4" ht="16.5" thickTop="1" x14ac:dyDescent="0.25">
      <c r="A157" s="84">
        <v>1053800350</v>
      </c>
      <c r="B157" s="81" t="str">
        <f>IF(A157&lt;&gt;0,VLOOKUP(Tabla5[[#This Row],[N° CEDULA]],[1]!BASE_DATOS[#Data],2,0)," ")</f>
        <v>DIEGO FRANCO HURTADO</v>
      </c>
      <c r="C157" s="82" t="s">
        <v>206</v>
      </c>
      <c r="D157" s="88">
        <v>44765</v>
      </c>
    </row>
    <row r="158" spans="1:4" ht="16.5" thickTop="1" x14ac:dyDescent="0.25">
      <c r="A158" s="84">
        <v>1192801825</v>
      </c>
      <c r="B158" s="81" t="str">
        <f>IF(A158&lt;&gt;0,VLOOKUP(Tabla5[[#This Row],[N° CEDULA]],[1]!BASE_DATOS[#Data],2,0)," ")</f>
        <v>JOSUE CAICEDO</v>
      </c>
      <c r="C158" s="82" t="s">
        <v>206</v>
      </c>
      <c r="D158" s="88">
        <v>44765</v>
      </c>
    </row>
    <row r="159" spans="1:4" ht="16.5" thickTop="1" x14ac:dyDescent="0.25">
      <c r="A159" s="84">
        <v>1053849883</v>
      </c>
      <c r="B159" s="81" t="str">
        <f>IF(A159&lt;&gt;0,VLOOKUP(Tabla5[[#This Row],[N° CEDULA]],[1]!BASE_DATOS[#Data],2,0)," ")</f>
        <v>MIGUEL ALEJANDRO CASTAÑEDA MONTES</v>
      </c>
      <c r="C159" s="82" t="s">
        <v>206</v>
      </c>
      <c r="D159" s="88">
        <v>44765</v>
      </c>
    </row>
    <row r="160" spans="1:4" ht="16.5" thickTop="1" x14ac:dyDescent="0.25">
      <c r="A160" s="84">
        <v>1002609115</v>
      </c>
      <c r="B160" s="81" t="str">
        <f>IF(A160&lt;&gt;0,VLOOKUP(Tabla5[[#This Row],[N° CEDULA]],[1]!BASE_DATOS[#Data],2,0)," ")</f>
        <v>SANTIAGO CAMPO RESTREPO</v>
      </c>
      <c r="C160" s="82" t="s">
        <v>206</v>
      </c>
      <c r="D160" s="88">
        <v>44765</v>
      </c>
    </row>
    <row r="161" spans="1:4" ht="16.5" thickTop="1" x14ac:dyDescent="0.25">
      <c r="A161" s="84">
        <v>1053844506</v>
      </c>
      <c r="B161" s="81" t="str">
        <f>IF(A161&lt;&gt;0,VLOOKUP(Tabla5[[#This Row],[N° CEDULA]],[1]!BASE_DATOS[#Data],2,0)," ")</f>
        <v>WILTON OSPINA FRANCO</v>
      </c>
      <c r="C161" s="82" t="s">
        <v>206</v>
      </c>
      <c r="D161" s="88">
        <v>44765</v>
      </c>
    </row>
    <row r="162" spans="1:4" ht="16.5" thickTop="1" x14ac:dyDescent="0.25">
      <c r="A162" s="84">
        <v>1053826007</v>
      </c>
      <c r="B162" s="81" t="str">
        <f>IF(A162&lt;&gt;0,VLOOKUP(Tabla5[[#This Row],[N° CEDULA]],[1]!BASE_DATOS[#Data],2,0)," ")</f>
        <v>ALEJANDRO MARTINEZ DELGADO</v>
      </c>
      <c r="C162" s="82" t="s">
        <v>213</v>
      </c>
      <c r="D162" s="88">
        <v>44766</v>
      </c>
    </row>
    <row r="163" spans="1:4" ht="16.5" thickTop="1" x14ac:dyDescent="0.25">
      <c r="A163" s="84">
        <v>1053870025</v>
      </c>
      <c r="B163" s="81" t="str">
        <f>IF(A163&lt;&gt;0,VLOOKUP(Tabla5[[#This Row],[N° CEDULA]],[1]!BASE_DATOS[#Data],2,0)," ")</f>
        <v>BRAHIAN SANCHEZ VARGAS</v>
      </c>
      <c r="C163" s="82" t="s">
        <v>213</v>
      </c>
      <c r="D163" s="88">
        <v>44766</v>
      </c>
    </row>
    <row r="164" spans="1:4" ht="16.5" thickTop="1" x14ac:dyDescent="0.25">
      <c r="A164" s="84">
        <v>1053795328</v>
      </c>
      <c r="B164" s="81" t="str">
        <f>IF(A164&lt;&gt;0,VLOOKUP(Tabla5[[#This Row],[N° CEDULA]],[1]!BASE_DATOS[#Data],2,0)," ")</f>
        <v>ELKIN DELGADO SALAZAR</v>
      </c>
      <c r="C164" s="82" t="s">
        <v>213</v>
      </c>
      <c r="D164" s="88">
        <v>44766</v>
      </c>
    </row>
    <row r="165" spans="1:4" ht="16.5" thickTop="1" x14ac:dyDescent="0.25">
      <c r="A165" s="84">
        <v>1053810428</v>
      </c>
      <c r="B165" s="81" t="str">
        <f>IF(A165&lt;&gt;0,VLOOKUP(Tabla5[[#This Row],[N° CEDULA]],[1]!BASE_DATOS[#Data],2,0)," ")</f>
        <v>JOHN EDISON VILLEGAS RAMIREZ</v>
      </c>
      <c r="C165" s="82" t="s">
        <v>213</v>
      </c>
      <c r="D165" s="88">
        <v>44766</v>
      </c>
    </row>
    <row r="166" spans="1:4" ht="16.5" thickTop="1" x14ac:dyDescent="0.25">
      <c r="A166" s="84">
        <v>16075218</v>
      </c>
      <c r="B166" s="81" t="str">
        <f>IF(A166&lt;&gt;0,VLOOKUP(Tabla5[[#This Row],[N° CEDULA]],[1]!BASE_DATOS[#Data],2,0)," ")</f>
        <v>JORGE ARMANDO MARTINEZ DELGADO</v>
      </c>
      <c r="C166" s="82" t="s">
        <v>213</v>
      </c>
      <c r="D166" s="88">
        <v>44766</v>
      </c>
    </row>
    <row r="167" spans="1:4" ht="16.5" thickTop="1" x14ac:dyDescent="0.25">
      <c r="A167" s="84">
        <v>75108122</v>
      </c>
      <c r="B167" s="81" t="str">
        <f>IF(A167&lt;&gt;0,VLOOKUP(Tabla5[[#This Row],[N° CEDULA]],[1]!BASE_DATOS[#Data],2,0)," ")</f>
        <v>LEONARDO DELGADO MARQUEZ</v>
      </c>
      <c r="C167" s="82" t="s">
        <v>213</v>
      </c>
      <c r="D167" s="88">
        <v>44766</v>
      </c>
    </row>
    <row r="168" spans="1:4" ht="16.5" thickTop="1" x14ac:dyDescent="0.25">
      <c r="A168" s="84">
        <v>79795996</v>
      </c>
      <c r="B168" s="81" t="str">
        <f>IF(A168&lt;&gt;0,VLOOKUP(Tabla5[[#This Row],[N° CEDULA]],[1]!BASE_DATOS[#Data],2,0)," ")</f>
        <v>MARCELO HINCAPIE FRANCO</v>
      </c>
      <c r="C168" s="82" t="s">
        <v>213</v>
      </c>
      <c r="D168" s="88">
        <v>44766</v>
      </c>
    </row>
    <row r="169" spans="1:4" ht="16.5" thickTop="1" x14ac:dyDescent="0.25">
      <c r="A169" s="84">
        <v>1053866286</v>
      </c>
      <c r="B169" s="81" t="str">
        <f>IF(A169&lt;&gt;0,VLOOKUP(Tabla5[[#This Row],[N° CEDULA]],[1]!BASE_DATOS[#Data],2,0)," ")</f>
        <v>HERNAN EDUARDO PIEDRAHITA GIL</v>
      </c>
      <c r="C169" s="82" t="s">
        <v>168</v>
      </c>
      <c r="D169" s="88">
        <v>44766</v>
      </c>
    </row>
    <row r="170" spans="1:4" ht="16.5" thickTop="1" x14ac:dyDescent="0.25">
      <c r="A170" s="84">
        <v>1152464322</v>
      </c>
      <c r="B170" s="81" t="str">
        <f>IF(A170&lt;&gt;0,VLOOKUP(Tabla5[[#This Row],[N° CEDULA]],[1]!BASE_DATOS[#Data],2,0)," ")</f>
        <v>JEISSON ENRIQUE ARISTIZABAL VILLA</v>
      </c>
      <c r="C170" s="82" t="s">
        <v>168</v>
      </c>
      <c r="D170" s="88">
        <v>44766</v>
      </c>
    </row>
    <row r="171" spans="1:4" ht="16.5" thickTop="1" x14ac:dyDescent="0.25">
      <c r="A171" s="84">
        <v>1058847346</v>
      </c>
      <c r="B171" s="81" t="str">
        <f>IF(A171&lt;&gt;0,VLOOKUP(Tabla5[[#This Row],[N° CEDULA]],[1]!BASE_DATOS[#Data],2,0)," ")</f>
        <v xml:space="preserve">JHON JAMES ZAPATA MUÑOZ </v>
      </c>
      <c r="C171" s="82" t="s">
        <v>168</v>
      </c>
      <c r="D171" s="88">
        <v>44766</v>
      </c>
    </row>
    <row r="172" spans="1:4" ht="16.5" thickTop="1" x14ac:dyDescent="0.25">
      <c r="A172" s="84">
        <v>1007502005</v>
      </c>
      <c r="B172" s="81" t="str">
        <f>IF(A172&lt;&gt;0,VLOOKUP(Tabla5[[#This Row],[N° CEDULA]],[1]!BASE_DATOS[#Data],2,0)," ")</f>
        <v>JUAN BREINER HERNANDEZ MARIN</v>
      </c>
      <c r="C172" s="82" t="s">
        <v>168</v>
      </c>
      <c r="D172" s="88">
        <v>44766</v>
      </c>
    </row>
    <row r="173" spans="1:4" ht="16.5" thickTop="1" x14ac:dyDescent="0.25">
      <c r="A173" s="84">
        <v>1058846109</v>
      </c>
      <c r="B173" s="81" t="str">
        <f>IF(A173&lt;&gt;0,VLOOKUP(Tabla5[[#This Row],[N° CEDULA]],[1]!BASE_DATOS[#Data],2,0)," ")</f>
        <v>JUAN CAMILO ARIAS</v>
      </c>
      <c r="C173" s="82" t="s">
        <v>168</v>
      </c>
      <c r="D173" s="88">
        <v>44766</v>
      </c>
    </row>
    <row r="174" spans="1:4" ht="16.5" thickTop="1" x14ac:dyDescent="0.25">
      <c r="A174" s="84">
        <v>1087487195</v>
      </c>
      <c r="B174" s="81" t="str">
        <f>IF(A174&lt;&gt;0,VLOOKUP(Tabla5[[#This Row],[N° CEDULA]],[1]!BASE_DATOS[#Data],2,0)," ")</f>
        <v>JUAN CARLOS CRUZ GUERRERO</v>
      </c>
      <c r="C174" s="82" t="s">
        <v>168</v>
      </c>
      <c r="D174" s="88">
        <v>44766</v>
      </c>
    </row>
    <row r="175" spans="1:4" ht="16.5" thickTop="1" x14ac:dyDescent="0.25">
      <c r="A175" s="84">
        <v>1002595477</v>
      </c>
      <c r="B175" s="81" t="str">
        <f>IF(A175&lt;&gt;0,VLOOKUP(Tabla5[[#This Row],[N° CEDULA]],[1]!BASE_DATOS[#Data],2,0)," ")</f>
        <v>JUAN PABLO GARCIA GAÑAN</v>
      </c>
      <c r="C175" s="82" t="s">
        <v>168</v>
      </c>
      <c r="D175" s="88">
        <v>44766</v>
      </c>
    </row>
    <row r="176" spans="1:4" ht="16.5" thickTop="1" x14ac:dyDescent="0.25">
      <c r="A176" s="84">
        <v>1002655671</v>
      </c>
      <c r="B176" s="81" t="str">
        <f>IF(A176&lt;&gt;0,VLOOKUP(Tabla5[[#This Row],[N° CEDULA]],[1]!BASE_DATOS[#Data],2,0)," ")</f>
        <v>SANTIAGO SANCHEZ CAMACHO</v>
      </c>
      <c r="C176" s="82" t="s">
        <v>168</v>
      </c>
      <c r="D176" s="88">
        <v>44766</v>
      </c>
    </row>
    <row r="177" spans="1:4" ht="16.5" thickTop="1" x14ac:dyDescent="0.25">
      <c r="A177" s="84">
        <v>1056122459</v>
      </c>
      <c r="B177" s="81" t="str">
        <f>IF(A177&lt;&gt;0,VLOOKUP(Tabla5[[#This Row],[N° CEDULA]],[1]!BASE_DATOS[#Data],2,0)," ")</f>
        <v>CAMILO VELANDIA PALACIO</v>
      </c>
      <c r="C177" s="82" t="s">
        <v>142</v>
      </c>
      <c r="D177" s="88">
        <v>44765</v>
      </c>
    </row>
    <row r="178" spans="1:4" ht="16.5" thickTop="1" x14ac:dyDescent="0.25">
      <c r="A178" s="84">
        <v>94193576</v>
      </c>
      <c r="B178" s="81" t="str">
        <f>IF(A178&lt;&gt;0,VLOOKUP(Tabla5[[#This Row],[N° CEDULA]],[1]!BASE_DATOS[#Data],2,0)," ")</f>
        <v>CARLOS ALBERTO GIRALDO CEBALLOS</v>
      </c>
      <c r="C178" s="82" t="s">
        <v>142</v>
      </c>
      <c r="D178" s="88">
        <v>44765</v>
      </c>
    </row>
    <row r="179" spans="1:4" ht="16.5" thickTop="1" x14ac:dyDescent="0.25">
      <c r="A179" s="84">
        <v>1053842713</v>
      </c>
      <c r="B179" s="81" t="str">
        <f>IF(A179&lt;&gt;0,VLOOKUP(Tabla5[[#This Row],[N° CEDULA]],[1]!BASE_DATOS[#Data],2,0)," ")</f>
        <v>DANIEL PALACIO PUERTA</v>
      </c>
      <c r="C179" s="82" t="s">
        <v>142</v>
      </c>
      <c r="D179" s="88">
        <v>44765</v>
      </c>
    </row>
    <row r="180" spans="1:4" ht="16.5" thickTop="1" x14ac:dyDescent="0.25">
      <c r="A180" s="84">
        <v>1054859258</v>
      </c>
      <c r="B180" s="81" t="str">
        <f>IF(A180&lt;&gt;0,VLOOKUP(Tabla5[[#This Row],[N° CEDULA]],[1]!BASE_DATOS[#Data],2,0)," ")</f>
        <v>DYLAN CARDONA JIMENEZ</v>
      </c>
      <c r="C180" s="82" t="s">
        <v>142</v>
      </c>
      <c r="D180" s="88">
        <v>44765</v>
      </c>
    </row>
    <row r="181" spans="1:4" ht="16.5" thickTop="1" x14ac:dyDescent="0.25">
      <c r="A181" s="84">
        <v>75093760</v>
      </c>
      <c r="B181" s="81" t="str">
        <f>IF(A181&lt;&gt;0,VLOOKUP(Tabla5[[#This Row],[N° CEDULA]],[1]!BASE_DATOS[#Data],2,0)," ")</f>
        <v>JAIME ALEXANDER RINCON LOPEZ</v>
      </c>
      <c r="C181" s="82" t="s">
        <v>142</v>
      </c>
      <c r="D181" s="88">
        <v>44765</v>
      </c>
    </row>
    <row r="182" spans="1:4" ht="16.5" thickTop="1" x14ac:dyDescent="0.25">
      <c r="A182" s="84">
        <v>1053844944</v>
      </c>
      <c r="B182" s="81" t="str">
        <f>IF(A182&lt;&gt;0,VLOOKUP(Tabla5[[#This Row],[N° CEDULA]],[1]!BASE_DATOS[#Data],2,0)," ")</f>
        <v>JOAN DAVID RODAS CARREERA</v>
      </c>
      <c r="C182" s="82" t="s">
        <v>142</v>
      </c>
      <c r="D182" s="88">
        <v>44765</v>
      </c>
    </row>
    <row r="183" spans="1:4" ht="16.5" thickTop="1" x14ac:dyDescent="0.25">
      <c r="A183" s="84">
        <v>1053794128</v>
      </c>
      <c r="B183" s="81" t="str">
        <f>IF(A183&lt;&gt;0,VLOOKUP(Tabla5[[#This Row],[N° CEDULA]],[1]!BASE_DATOS[#Data],2,0)," ")</f>
        <v>JOSE ALONSO DAVILA RAMIREZ</v>
      </c>
      <c r="C183" s="82" t="s">
        <v>142</v>
      </c>
      <c r="D183" s="88">
        <v>44765</v>
      </c>
    </row>
    <row r="184" spans="1:4" ht="16.5" thickTop="1" x14ac:dyDescent="0.25">
      <c r="A184" s="84">
        <v>1053854798</v>
      </c>
      <c r="B184" s="81" t="str">
        <f>IF(A184&lt;&gt;0,VLOOKUP(Tabla5[[#This Row],[N° CEDULA]],[1]!BASE_DATOS[#Data],2,0)," ")</f>
        <v>JUAN CARLOS ARCILA GARCIA</v>
      </c>
      <c r="C184" s="82" t="s">
        <v>142</v>
      </c>
      <c r="D184" s="88">
        <v>44765</v>
      </c>
    </row>
    <row r="185" spans="1:4" ht="16.5" thickTop="1" x14ac:dyDescent="0.25">
      <c r="A185" s="84">
        <v>1053769286</v>
      </c>
      <c r="B185" s="81" t="str">
        <f>IF(A185&lt;&gt;0,VLOOKUP(Tabla5[[#This Row],[N° CEDULA]],[1]!BASE_DATOS[#Data],2,0)," ")</f>
        <v>MANUEL FERMIN BEDOYA MANRIQUE</v>
      </c>
      <c r="C185" s="82" t="s">
        <v>142</v>
      </c>
      <c r="D185" s="88">
        <v>44765</v>
      </c>
    </row>
    <row r="186" spans="1:4" ht="16.5" thickTop="1" x14ac:dyDescent="0.25">
      <c r="A186" s="84">
        <v>1053862175</v>
      </c>
      <c r="B186" s="81" t="str">
        <f>IF(A186&lt;&gt;0,VLOOKUP(Tabla5[[#This Row],[N° CEDULA]],[1]!BASE_DATOS[#Data],2,0)," ")</f>
        <v>RICARDO VELANDIA PALACIO</v>
      </c>
      <c r="C186" s="82" t="s">
        <v>142</v>
      </c>
      <c r="D186" s="88">
        <v>44765</v>
      </c>
    </row>
    <row r="187" spans="1:4" ht="16.5" thickTop="1" x14ac:dyDescent="0.25">
      <c r="A187" s="84">
        <v>1053841262</v>
      </c>
      <c r="B187" s="81" t="str">
        <f>IF(A187&lt;&gt;0,VLOOKUP(Tabla5[[#This Row],[N° CEDULA]],[1]!BASE_DATOS[#Data],2,0)," ")</f>
        <v>CRISTIAN DAVID TABARES</v>
      </c>
      <c r="C187" s="82" t="s">
        <v>138</v>
      </c>
      <c r="D187" s="88">
        <v>44759</v>
      </c>
    </row>
    <row r="188" spans="1:4" ht="16.5" thickTop="1" x14ac:dyDescent="0.25">
      <c r="A188" s="84">
        <v>1053814816</v>
      </c>
      <c r="B188" s="81" t="str">
        <f>IF(A188&lt;&gt;0,VLOOKUP(Tabla5[[#This Row],[N° CEDULA]],[1]!BASE_DATOS[#Data],2,0)," ")</f>
        <v xml:space="preserve">CRISTIAN RESTREPO ROJAS </v>
      </c>
      <c r="C188" s="82" t="s">
        <v>138</v>
      </c>
      <c r="D188" s="88">
        <v>44759</v>
      </c>
    </row>
    <row r="189" spans="1:4" ht="16.5" thickTop="1" x14ac:dyDescent="0.25">
      <c r="A189" s="84">
        <v>1060656949</v>
      </c>
      <c r="B189" s="81" t="str">
        <f>IF(A189&lt;&gt;0,VLOOKUP(Tabla5[[#This Row],[N° CEDULA]],[1]!BASE_DATOS[#Data],2,0)," ")</f>
        <v>DANIEL ALEJANDRO OSUNA VILLA</v>
      </c>
      <c r="C189" s="82" t="s">
        <v>138</v>
      </c>
      <c r="D189" s="88">
        <v>44759</v>
      </c>
    </row>
    <row r="190" spans="1:4" ht="16.5" thickTop="1" x14ac:dyDescent="0.25">
      <c r="A190" s="84">
        <v>1053831225</v>
      </c>
      <c r="B190" s="81" t="str">
        <f>IF(A190&lt;&gt;0,VLOOKUP(Tabla5[[#This Row],[N° CEDULA]],[1]!BASE_DATOS[#Data],2,0)," ")</f>
        <v>JHON ALEXANDER GARCIA TORRES</v>
      </c>
      <c r="C190" s="82" t="s">
        <v>138</v>
      </c>
      <c r="D190" s="88">
        <v>44759</v>
      </c>
    </row>
    <row r="191" spans="1:4" ht="16.5" thickTop="1" x14ac:dyDescent="0.25">
      <c r="A191" s="84">
        <v>1053814907</v>
      </c>
      <c r="B191" s="81" t="str">
        <f>IF(A191&lt;&gt;0,VLOOKUP(Tabla5[[#This Row],[N° CEDULA]],[1]!BASE_DATOS[#Data],2,0)," ")</f>
        <v>JORGE WILLIAM MORENO OSPINA</v>
      </c>
      <c r="C191" s="82" t="s">
        <v>138</v>
      </c>
      <c r="D191" s="88">
        <v>44759</v>
      </c>
    </row>
    <row r="192" spans="1:4" ht="16.5" thickTop="1" x14ac:dyDescent="0.25">
      <c r="A192" s="84">
        <v>1053841062</v>
      </c>
      <c r="B192" s="81" t="str">
        <f>IF(A192&lt;&gt;0,VLOOKUP(Tabla5[[#This Row],[N° CEDULA]],[1]!BASE_DATOS[#Data],2,0)," ")</f>
        <v>JUAN SEBASTIAN GARCIA TORRES</v>
      </c>
      <c r="C192" s="82" t="s">
        <v>138</v>
      </c>
      <c r="D192" s="88">
        <v>44759</v>
      </c>
    </row>
    <row r="193" spans="1:4" ht="16.5" thickTop="1" x14ac:dyDescent="0.25">
      <c r="A193" s="84">
        <v>75104557</v>
      </c>
      <c r="B193" s="81" t="str">
        <f>IF(A193&lt;&gt;0,VLOOKUP(Tabla5[[#This Row],[N° CEDULA]],[1]!BASE_DATOS[#Data],2,0)," ")</f>
        <v>LIBARDO DE JESUS TORRES MORENO</v>
      </c>
      <c r="C193" s="82" t="s">
        <v>138</v>
      </c>
      <c r="D193" s="88">
        <v>44759</v>
      </c>
    </row>
    <row r="194" spans="1:4" ht="16.5" thickTop="1" x14ac:dyDescent="0.25">
      <c r="A194" s="84">
        <v>1059811194</v>
      </c>
      <c r="B194" s="81" t="str">
        <f>IF(A194&lt;&gt;0,VLOOKUP(Tabla5[[#This Row],[N° CEDULA]],[1]!BASE_DATOS[#Data],2,0)," ")</f>
        <v>CARLOS AUGUSTO CARDONA</v>
      </c>
      <c r="C194" s="82" t="s">
        <v>173</v>
      </c>
      <c r="D194" s="88">
        <v>44765</v>
      </c>
    </row>
    <row r="195" spans="1:4" ht="16.5" thickTop="1" x14ac:dyDescent="0.25">
      <c r="A195" s="84">
        <v>1111199146</v>
      </c>
      <c r="B195" s="81" t="str">
        <f>IF(A195&lt;&gt;0,VLOOKUP(Tabla5[[#This Row],[N° CEDULA]],[1]!BASE_DATOS[#Data],2,0)," ")</f>
        <v>CRISTIAN PAVA ENCISO *</v>
      </c>
      <c r="C195" s="82" t="s">
        <v>173</v>
      </c>
      <c r="D195" s="88">
        <v>44765</v>
      </c>
    </row>
    <row r="196" spans="1:4" ht="16.5" thickTop="1" x14ac:dyDescent="0.25">
      <c r="A196" s="84">
        <v>1059810898</v>
      </c>
      <c r="B196" s="81" t="str">
        <f>IF(A196&lt;&gt;0,VLOOKUP(Tabla5[[#This Row],[N° CEDULA]],[1]!BASE_DATOS[#Data],2,0)," ")</f>
        <v>GIOVANNY SALAZAR SEPULVEDA</v>
      </c>
      <c r="C196" s="82" t="s">
        <v>173</v>
      </c>
      <c r="D196" s="88">
        <v>44765</v>
      </c>
    </row>
    <row r="197" spans="1:4" ht="16.5" thickTop="1" x14ac:dyDescent="0.25">
      <c r="A197" s="84">
        <v>1112489131</v>
      </c>
      <c r="B197" s="81" t="str">
        <f>IF(A197&lt;&gt;0,VLOOKUP(Tabla5[[#This Row],[N° CEDULA]],[1]!BASE_DATOS[#Data],2,0)," ")</f>
        <v>JHON JAIRO MARTINEZ OCAMPO</v>
      </c>
      <c r="C197" s="82" t="s">
        <v>173</v>
      </c>
      <c r="D197" s="88">
        <v>44765</v>
      </c>
    </row>
    <row r="198" spans="1:4" ht="16.5" thickTop="1" x14ac:dyDescent="0.25">
      <c r="A198" s="84">
        <v>1053873153</v>
      </c>
      <c r="B198" s="81" t="str">
        <f>IF(A198&lt;&gt;0,VLOOKUP(Tabla5[[#This Row],[N° CEDULA]],[1]!BASE_DATOS[#Data],2,0)," ")</f>
        <v>JOSE YEISON ARIAS GALLEGO</v>
      </c>
      <c r="C198" s="82" t="s">
        <v>173</v>
      </c>
      <c r="D198" s="88">
        <v>44765</v>
      </c>
    </row>
    <row r="199" spans="1:4" ht="16.5" thickTop="1" x14ac:dyDescent="0.25">
      <c r="A199" s="84">
        <v>1002633043</v>
      </c>
      <c r="B199" s="81" t="str">
        <f>IF(A199&lt;&gt;0,VLOOKUP(Tabla5[[#This Row],[N° CEDULA]],[1]!BASE_DATOS[#Data],2,0)," ")</f>
        <v>JUAN ESTEBAN FLOREZ MURILLO</v>
      </c>
      <c r="C199" s="82" t="s">
        <v>173</v>
      </c>
      <c r="D199" s="88">
        <v>44765</v>
      </c>
    </row>
    <row r="200" spans="1:4" ht="16.5" thickTop="1" x14ac:dyDescent="0.25">
      <c r="A200" s="84">
        <v>1059811913</v>
      </c>
      <c r="B200" s="81" t="str">
        <f>IF(A200&lt;&gt;0,VLOOKUP(Tabla5[[#This Row],[N° CEDULA]],[1]!BASE_DATOS[#Data],2,0)," ")</f>
        <v>LUIS ENRIQUE GOMEZ OSORIO</v>
      </c>
      <c r="C200" s="82" t="s">
        <v>173</v>
      </c>
      <c r="D200" s="88">
        <v>44765</v>
      </c>
    </row>
    <row r="201" spans="1:4" ht="16.5" thickTop="1" x14ac:dyDescent="0.25">
      <c r="A201" s="84">
        <v>15961423</v>
      </c>
      <c r="B201" s="81" t="str">
        <f>IF(A201&lt;&gt;0,VLOOKUP(Tabla5[[#This Row],[N° CEDULA]],[1]!BASE_DATOS[#Data],2,0)," ")</f>
        <v>NELSON CAMPUZANO LOAIZA</v>
      </c>
      <c r="C201" s="82" t="s">
        <v>173</v>
      </c>
      <c r="D201" s="88">
        <v>44765</v>
      </c>
    </row>
    <row r="202" spans="1:4" ht="16.5" thickTop="1" x14ac:dyDescent="0.25">
      <c r="A202" s="84">
        <v>1053768824</v>
      </c>
      <c r="B202" s="81" t="str">
        <f>IF(A202&lt;&gt;0,VLOOKUP(Tabla5[[#This Row],[N° CEDULA]],[1]!BASE_DATOS[#Data],2,0)," ")</f>
        <v>SEBASTIAN BERMUDEZ OCAMPO</v>
      </c>
      <c r="C202" s="82" t="s">
        <v>173</v>
      </c>
      <c r="D202" s="88">
        <v>44765</v>
      </c>
    </row>
    <row r="203" spans="1:4" ht="16.5" thickTop="1" x14ac:dyDescent="0.25">
      <c r="A203" s="84">
        <v>1053870474</v>
      </c>
      <c r="B203" s="81" t="str">
        <f>IF(A203&lt;&gt;0,VLOOKUP(Tabla5[[#This Row],[N° CEDULA]],[1]!BASE_DATOS[#Data],2,0)," ")</f>
        <v>ANDRES FELIPE CALLE HERNANDEZ</v>
      </c>
      <c r="C203" s="82" t="s">
        <v>156</v>
      </c>
      <c r="D203" s="88">
        <v>44759</v>
      </c>
    </row>
    <row r="204" spans="1:4" ht="16.5" thickTop="1" x14ac:dyDescent="0.25">
      <c r="A204" s="84">
        <v>1053791984</v>
      </c>
      <c r="B204" s="81" t="str">
        <f>IF(A204&lt;&gt;0,VLOOKUP(Tabla5[[#This Row],[N° CEDULA]],[1]!BASE_DATOS[#Data],2,0)," ")</f>
        <v xml:space="preserve">CARLOS EDUARDO GONZALES GOMEZ </v>
      </c>
      <c r="C204" s="82" t="s">
        <v>156</v>
      </c>
      <c r="D204" s="88">
        <v>44765</v>
      </c>
    </row>
    <row r="205" spans="1:4" ht="16.5" thickTop="1" x14ac:dyDescent="0.25">
      <c r="A205" s="84">
        <v>1053822947</v>
      </c>
      <c r="B205" s="81" t="str">
        <f>IF(A205&lt;&gt;0,VLOOKUP(Tabla5[[#This Row],[N° CEDULA]],[1]!BASE_DATOS[#Data],2,0)," ")</f>
        <v>CARLOS MARIO GARCIA OCAMPO</v>
      </c>
      <c r="C205" s="82" t="s">
        <v>156</v>
      </c>
      <c r="D205" s="88">
        <v>44759</v>
      </c>
    </row>
    <row r="206" spans="1:4" ht="16.5" thickTop="1" x14ac:dyDescent="0.25">
      <c r="A206" s="84">
        <v>1053800845</v>
      </c>
      <c r="B206" s="81" t="str">
        <f>IF(A206&lt;&gt;0,VLOOKUP(Tabla5[[#This Row],[N° CEDULA]],[1]!BASE_DATOS[#Data],2,0)," ")</f>
        <v xml:space="preserve">CRISTIAN ALBERTO FRANCO FRANCO </v>
      </c>
      <c r="C206" s="82" t="s">
        <v>156</v>
      </c>
      <c r="D206" s="88">
        <v>44766</v>
      </c>
    </row>
    <row r="207" spans="1:4" ht="16.5" thickTop="1" x14ac:dyDescent="0.25">
      <c r="A207" s="84">
        <v>1053802238</v>
      </c>
      <c r="B207" s="81" t="str">
        <f>IF(A207&lt;&gt;0,VLOOKUP(Tabla5[[#This Row],[N° CEDULA]],[1]!BASE_DATOS[#Data],2,0)," ")</f>
        <v>CRISTIAN MAURICIO AGUDELO OCHOA</v>
      </c>
      <c r="C207" s="82" t="s">
        <v>156</v>
      </c>
      <c r="D207" s="88">
        <v>44759</v>
      </c>
    </row>
    <row r="208" spans="1:4" ht="16.5" thickTop="1" x14ac:dyDescent="0.25">
      <c r="A208" s="84">
        <v>1053873275</v>
      </c>
      <c r="B208" s="81" t="str">
        <f>IF(A208&lt;&gt;0,VLOOKUP(Tabla5[[#This Row],[N° CEDULA]],[1]!BASE_DATOS[#Data],2,0)," ")</f>
        <v>GUSTAVO ADOLFO HINCAPIE HOLGUIN</v>
      </c>
      <c r="C208" s="82" t="s">
        <v>156</v>
      </c>
      <c r="D208" s="88">
        <v>44759</v>
      </c>
    </row>
    <row r="209" spans="1:4" ht="16.5" thickTop="1" x14ac:dyDescent="0.25">
      <c r="A209" s="84">
        <v>1053799223</v>
      </c>
      <c r="B209" s="81" t="str">
        <f>IF(A209&lt;&gt;0,VLOOKUP(Tabla5[[#This Row],[N° CEDULA]],[1]!BASE_DATOS[#Data],2,0)," ")</f>
        <v>JAIME ANDRES PINEDA ORTEGON</v>
      </c>
      <c r="C209" s="82" t="s">
        <v>156</v>
      </c>
      <c r="D209" s="88">
        <v>44759</v>
      </c>
    </row>
    <row r="210" spans="1:4" ht="16.5" thickTop="1" x14ac:dyDescent="0.25">
      <c r="A210" s="84">
        <v>1053779211</v>
      </c>
      <c r="B210" s="81" t="str">
        <f>IF(A210&lt;&gt;0,VLOOKUP(Tabla5[[#This Row],[N° CEDULA]],[1]!BASE_DATOS[#Data],2,0)," ")</f>
        <v>JHON EDER TORO ALVAREZ</v>
      </c>
      <c r="C210" s="82" t="s">
        <v>156</v>
      </c>
      <c r="D210" s="88">
        <v>44759</v>
      </c>
    </row>
    <row r="211" spans="1:4" ht="16.5" thickTop="1" x14ac:dyDescent="0.25">
      <c r="A211" s="84">
        <v>1144181661</v>
      </c>
      <c r="B211" s="81" t="str">
        <f>IF(A211&lt;&gt;0,VLOOKUP(Tabla5[[#This Row],[N° CEDULA]],[1]!BASE_DATOS[#Data],2,0)," ")</f>
        <v>JORGE HERNAN GONZALEZ GOMEZ</v>
      </c>
      <c r="C211" s="82" t="s">
        <v>156</v>
      </c>
      <c r="D211" s="88">
        <v>44766</v>
      </c>
    </row>
    <row r="212" spans="1:4" ht="16.5" thickTop="1" x14ac:dyDescent="0.25">
      <c r="A212" s="84">
        <v>75102233</v>
      </c>
      <c r="B212" s="81" t="str">
        <f>IF(A212&lt;&gt;0,VLOOKUP(Tabla5[[#This Row],[N° CEDULA]],[1]!BASE_DATOS[#Data],2,0)," ")</f>
        <v>JOSE HOOVER RIOS GALLEGO</v>
      </c>
      <c r="C212" s="82" t="s">
        <v>156</v>
      </c>
      <c r="D212" s="88">
        <v>44759</v>
      </c>
    </row>
    <row r="213" spans="1:4" ht="16.5" thickTop="1" x14ac:dyDescent="0.25">
      <c r="A213" s="84">
        <v>1053871373</v>
      </c>
      <c r="B213" s="81" t="str">
        <f>IF(A213&lt;&gt;0,VLOOKUP(Tabla5[[#This Row],[N° CEDULA]],[1]!BASE_DATOS[#Data],2,0)," ")</f>
        <v>JUAN  DAVID RIOS GALLEGO</v>
      </c>
      <c r="C213" s="82" t="s">
        <v>156</v>
      </c>
      <c r="D213" s="88">
        <v>44759</v>
      </c>
    </row>
    <row r="214" spans="1:4" ht="16.5" thickTop="1" x14ac:dyDescent="0.25">
      <c r="A214" s="84">
        <v>1233508434</v>
      </c>
      <c r="B214" s="81" t="str">
        <f>IF(A214&lt;&gt;0,VLOOKUP(Tabla5[[#This Row],[N° CEDULA]],[1]!BASE_DATOS[#Data],2,0)," ")</f>
        <v>KEVIN OCAMPO RUIZ</v>
      </c>
      <c r="C214" s="82" t="s">
        <v>156</v>
      </c>
      <c r="D214" s="88">
        <v>44759</v>
      </c>
    </row>
    <row r="215" spans="1:4" ht="16.5" thickTop="1" x14ac:dyDescent="0.25">
      <c r="A215" s="84">
        <v>1053841144</v>
      </c>
      <c r="B215" s="81" t="str">
        <f>IF(A215&lt;&gt;0,VLOOKUP(Tabla5[[#This Row],[N° CEDULA]],[1]!BASE_DATOS[#Data],2,0)," ")</f>
        <v>SANTIAGO FONSECA QUINTERO</v>
      </c>
      <c r="C215" s="82" t="s">
        <v>156</v>
      </c>
      <c r="D215" s="88">
        <v>44766</v>
      </c>
    </row>
    <row r="216" spans="1:4" ht="16.5" thickTop="1" x14ac:dyDescent="0.25">
      <c r="A216" s="84">
        <v>1055750462</v>
      </c>
      <c r="B216" s="81" t="str">
        <f>IF(A216&lt;&gt;0,VLOOKUP(Tabla5[[#This Row],[N° CEDULA]],[1]!BASE_DATOS[#Data],2,0)," ")</f>
        <v>SANTIAGO RIOS CARDONA</v>
      </c>
      <c r="C216" s="82" t="s">
        <v>156</v>
      </c>
      <c r="D216" s="88">
        <v>44759</v>
      </c>
    </row>
    <row r="217" spans="1:4" ht="15.75" thickTop="1" x14ac:dyDescent="0.25">
      <c r="A217" s="84">
        <v>1053855291</v>
      </c>
      <c r="B217" s="81" t="str">
        <f>IF(A217&lt;&gt;0,VLOOKUP(Tabla5[[#This Row],[N° CEDULA]],[1]!BASE_DATOS[#Data],2,0)," ")</f>
        <v>SEBASTIAN CASTAÑO OROZCO</v>
      </c>
      <c r="C217" s="82" t="s">
        <v>156</v>
      </c>
      <c r="D217" s="88">
        <v>44766</v>
      </c>
    </row>
  </sheetData>
  <sheetProtection sheet="1" objects="1" scenarios="1" sort="0" autoFilter="0"/>
  <dataConsolidate/>
  <dataValidations count="1">
    <dataValidation type="custom" allowBlank="1" showInputMessage="1" showErrorMessage="1" sqref="A2:A217" xr:uid="{9B85A63A-19F9-462F-89BA-0586255BCFBF}">
      <formula1>COUNTIF($A$2:A2,A2)=1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K19"/>
  <sheetViews>
    <sheetView showGridLines="0" workbookViewId="0">
      <pane xSplit="3" ySplit="2" topLeftCell="D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RowHeight="15" x14ac:dyDescent="0.25"/>
  <cols>
    <col min="1" max="1" width="20.7109375" style="7" customWidth="1"/>
    <col min="2" max="2" width="3.28515625" style="7" bestFit="1" customWidth="1"/>
    <col min="3" max="3" width="30.7109375" style="7" customWidth="1"/>
    <col min="4" max="4" width="10.7109375" style="7" customWidth="1"/>
    <col min="5" max="6" width="5.7109375" style="17" customWidth="1"/>
    <col min="7" max="7" width="5.7109375" style="17" hidden="1" customWidth="1"/>
    <col min="8" max="8" width="10.7109375" style="17" customWidth="1"/>
    <col min="9" max="9" width="10.7109375" style="22" customWidth="1"/>
    <col min="10" max="11" width="5.7109375" style="17" customWidth="1"/>
    <col min="12" max="12" width="5.7109375" style="17" hidden="1" customWidth="1"/>
    <col min="13" max="13" width="10.7109375" style="17" customWidth="1"/>
    <col min="14" max="14" width="10.7109375" style="22" customWidth="1"/>
    <col min="15" max="16" width="5.7109375" style="17" customWidth="1"/>
    <col min="17" max="17" width="5.7109375" style="17" hidden="1" customWidth="1"/>
    <col min="18" max="18" width="10.7109375" style="17" customWidth="1"/>
    <col min="19" max="19" width="10.7109375" style="22" customWidth="1"/>
    <col min="20" max="21" width="5.7109375" style="17" customWidth="1"/>
    <col min="22" max="22" width="5.7109375" style="17" hidden="1" customWidth="1"/>
    <col min="23" max="23" width="10.7109375" style="17" customWidth="1"/>
    <col min="24" max="24" width="10.7109375" style="22" customWidth="1"/>
    <col min="25" max="26" width="5.7109375" style="17" customWidth="1"/>
    <col min="27" max="27" width="5.7109375" style="17" hidden="1" customWidth="1"/>
    <col min="28" max="28" width="10.7109375" style="17" customWidth="1"/>
    <col min="29" max="29" width="10.7109375" style="22" customWidth="1"/>
    <col min="30" max="31" width="5.7109375" style="17" customWidth="1"/>
    <col min="32" max="32" width="5.7109375" style="17" hidden="1" customWidth="1"/>
    <col min="33" max="33" width="10.7109375" style="17" customWidth="1"/>
    <col min="34" max="34" width="10.7109375" style="22" customWidth="1"/>
    <col min="35" max="36" width="5.7109375" style="17" customWidth="1"/>
    <col min="37" max="37" width="5.7109375" style="17" hidden="1" customWidth="1"/>
    <col min="38" max="38" width="10.7109375" style="17" customWidth="1"/>
    <col min="39" max="39" width="10.7109375" style="22" customWidth="1"/>
    <col min="40" max="41" width="5.7109375" style="17" customWidth="1"/>
    <col min="42" max="42" width="5.7109375" style="17" hidden="1" customWidth="1"/>
    <col min="43" max="43" width="10.7109375" style="17" customWidth="1"/>
    <col min="44" max="44" width="10.7109375" style="22" customWidth="1"/>
    <col min="45" max="46" width="5.7109375" style="17" customWidth="1"/>
    <col min="47" max="47" width="5.7109375" style="17" hidden="1" customWidth="1"/>
    <col min="48" max="48" width="10.7109375" style="17" customWidth="1"/>
    <col min="49" max="49" width="10.7109375" style="22" customWidth="1"/>
    <col min="50" max="51" width="5.7109375" style="17" customWidth="1"/>
    <col min="52" max="52" width="5.7109375" style="17" hidden="1" customWidth="1"/>
    <col min="53" max="53" width="10.7109375" style="17" customWidth="1"/>
    <col min="54" max="54" width="10.7109375" style="22" customWidth="1"/>
    <col min="55" max="56" width="5.7109375" style="17" customWidth="1"/>
    <col min="57" max="57" width="5.7109375" style="17" hidden="1" customWidth="1"/>
    <col min="58" max="58" width="10.7109375" style="17" customWidth="1"/>
    <col min="59" max="59" width="10.7109375" style="22" customWidth="1"/>
    <col min="60" max="61" width="5.7109375" style="17" customWidth="1"/>
    <col min="62" max="62" width="5.7109375" style="17" hidden="1" customWidth="1"/>
    <col min="63" max="63" width="10.7109375" style="17" customWidth="1"/>
    <col min="64" max="16384" width="11.42578125" style="7"/>
  </cols>
  <sheetData>
    <row r="1" spans="1:63" x14ac:dyDescent="0.25">
      <c r="A1" s="255" t="s">
        <v>128</v>
      </c>
      <c r="B1" s="257" t="s">
        <v>37</v>
      </c>
      <c r="C1" s="256" t="s">
        <v>129</v>
      </c>
      <c r="D1" s="242" t="str">
        <f>C3</f>
        <v>RESTAURANTE GRAN CHINA</v>
      </c>
      <c r="E1" s="242"/>
      <c r="F1" s="242"/>
      <c r="G1" s="242"/>
      <c r="H1" s="242"/>
      <c r="I1" s="242" t="str">
        <f>C4</f>
        <v>ATLETICO RACING</v>
      </c>
      <c r="J1" s="242"/>
      <c r="K1" s="242"/>
      <c r="L1" s="242"/>
      <c r="M1" s="242"/>
      <c r="N1" s="242" t="str">
        <f>C5</f>
        <v>ESTAMPADOS SANTI</v>
      </c>
      <c r="O1" s="242"/>
      <c r="P1" s="242"/>
      <c r="Q1" s="242"/>
      <c r="R1" s="242"/>
      <c r="S1" s="242" t="str">
        <f>C6</f>
        <v>DISTRIBUIDORA LA ESQUINA</v>
      </c>
      <c r="T1" s="242"/>
      <c r="U1" s="242"/>
      <c r="V1" s="242"/>
      <c r="W1" s="242"/>
      <c r="X1" s="242" t="str">
        <f>C7</f>
        <v>RADAR TOPOGRAFIA</v>
      </c>
      <c r="Y1" s="242"/>
      <c r="Z1" s="242"/>
      <c r="AA1" s="242"/>
      <c r="AB1" s="242"/>
      <c r="AC1" s="242" t="str">
        <f>C8</f>
        <v>VILLA CITY</v>
      </c>
      <c r="AD1" s="242"/>
      <c r="AE1" s="242"/>
      <c r="AF1" s="242"/>
      <c r="AG1" s="242"/>
      <c r="AH1" s="242" t="str">
        <f>C9</f>
        <v>LOS BACKYARDIGANS</v>
      </c>
      <c r="AI1" s="242"/>
      <c r="AJ1" s="242"/>
      <c r="AK1" s="242"/>
      <c r="AL1" s="242"/>
      <c r="AM1" s="242" t="str">
        <f>C10</f>
        <v>WESTHAM</v>
      </c>
      <c r="AN1" s="242"/>
      <c r="AO1" s="242"/>
      <c r="AP1" s="242"/>
      <c r="AQ1" s="242"/>
      <c r="AR1" s="242">
        <f>C11</f>
        <v>0</v>
      </c>
      <c r="AS1" s="242"/>
      <c r="AT1" s="242"/>
      <c r="AU1" s="242"/>
      <c r="AV1" s="242"/>
      <c r="AW1" s="242">
        <f>C12</f>
        <v>0</v>
      </c>
      <c r="AX1" s="242"/>
      <c r="AY1" s="242"/>
      <c r="AZ1" s="242"/>
      <c r="BA1" s="242"/>
      <c r="BB1" s="242">
        <f>C13</f>
        <v>0</v>
      </c>
      <c r="BC1" s="242"/>
      <c r="BD1" s="242"/>
      <c r="BE1" s="242"/>
      <c r="BF1" s="242"/>
      <c r="BG1" s="242">
        <f>C14</f>
        <v>0</v>
      </c>
      <c r="BH1" s="242"/>
      <c r="BI1" s="242"/>
      <c r="BJ1" s="242"/>
      <c r="BK1" s="242"/>
    </row>
    <row r="2" spans="1:63" x14ac:dyDescent="0.25">
      <c r="A2" s="255"/>
      <c r="B2" s="257"/>
      <c r="C2" s="256"/>
      <c r="D2" s="8" t="s">
        <v>67</v>
      </c>
      <c r="E2" s="244" t="s">
        <v>69</v>
      </c>
      <c r="F2" s="245"/>
      <c r="G2" s="85"/>
      <c r="H2" s="20" t="s">
        <v>68</v>
      </c>
      <c r="I2" s="21" t="s">
        <v>67</v>
      </c>
      <c r="J2" s="244" t="s">
        <v>69</v>
      </c>
      <c r="K2" s="245"/>
      <c r="L2" s="85"/>
      <c r="M2" s="20" t="s">
        <v>68</v>
      </c>
      <c r="N2" s="21" t="s">
        <v>67</v>
      </c>
      <c r="O2" s="244" t="s">
        <v>69</v>
      </c>
      <c r="P2" s="245"/>
      <c r="Q2" s="85"/>
      <c r="R2" s="20" t="s">
        <v>68</v>
      </c>
      <c r="S2" s="21" t="s">
        <v>67</v>
      </c>
      <c r="T2" s="244" t="s">
        <v>69</v>
      </c>
      <c r="U2" s="245"/>
      <c r="V2" s="85"/>
      <c r="W2" s="20" t="s">
        <v>68</v>
      </c>
      <c r="X2" s="21" t="s">
        <v>67</v>
      </c>
      <c r="Y2" s="244" t="s">
        <v>69</v>
      </c>
      <c r="Z2" s="245"/>
      <c r="AA2" s="85"/>
      <c r="AB2" s="20" t="s">
        <v>68</v>
      </c>
      <c r="AC2" s="21" t="s">
        <v>67</v>
      </c>
      <c r="AD2" s="244" t="s">
        <v>69</v>
      </c>
      <c r="AE2" s="245"/>
      <c r="AF2" s="85"/>
      <c r="AG2" s="20" t="s">
        <v>68</v>
      </c>
      <c r="AH2" s="21" t="s">
        <v>67</v>
      </c>
      <c r="AI2" s="244" t="s">
        <v>69</v>
      </c>
      <c r="AJ2" s="245"/>
      <c r="AK2" s="85"/>
      <c r="AL2" s="20" t="s">
        <v>68</v>
      </c>
      <c r="AM2" s="21" t="s">
        <v>67</v>
      </c>
      <c r="AN2" s="244" t="s">
        <v>69</v>
      </c>
      <c r="AO2" s="245"/>
      <c r="AP2" s="85"/>
      <c r="AQ2" s="20" t="s">
        <v>68</v>
      </c>
      <c r="AR2" s="21" t="s">
        <v>67</v>
      </c>
      <c r="AS2" s="244" t="s">
        <v>69</v>
      </c>
      <c r="AT2" s="245"/>
      <c r="AU2" s="85"/>
      <c r="AV2" s="20" t="s">
        <v>68</v>
      </c>
      <c r="AW2" s="21" t="s">
        <v>67</v>
      </c>
      <c r="AX2" s="244" t="s">
        <v>69</v>
      </c>
      <c r="AY2" s="245"/>
      <c r="AZ2" s="85"/>
      <c r="BA2" s="20" t="s">
        <v>68</v>
      </c>
      <c r="BB2" s="21" t="s">
        <v>67</v>
      </c>
      <c r="BC2" s="244" t="s">
        <v>69</v>
      </c>
      <c r="BD2" s="245"/>
      <c r="BE2" s="85"/>
      <c r="BF2" s="20" t="s">
        <v>68</v>
      </c>
      <c r="BG2" s="21" t="s">
        <v>67</v>
      </c>
      <c r="BH2" s="244" t="s">
        <v>69</v>
      </c>
      <c r="BI2" s="245"/>
      <c r="BJ2" s="85"/>
      <c r="BK2" s="20" t="s">
        <v>68</v>
      </c>
    </row>
    <row r="3" spans="1:63" x14ac:dyDescent="0.25">
      <c r="A3" s="143" t="s">
        <v>235</v>
      </c>
      <c r="B3" s="230">
        <v>1</v>
      </c>
      <c r="C3" s="87" t="s">
        <v>138</v>
      </c>
      <c r="D3" s="243" t="s">
        <v>66</v>
      </c>
      <c r="E3" s="243"/>
      <c r="F3" s="243"/>
      <c r="G3" s="243"/>
      <c r="H3" s="243"/>
      <c r="I3" s="228" t="str">
        <f>IF(D4&lt;&gt;0,D4," ")</f>
        <v xml:space="preserve"> </v>
      </c>
      <c r="J3" s="19" t="str">
        <f>IF(D4&lt;&gt;0,F4, " ")</f>
        <v xml:space="preserve"> </v>
      </c>
      <c r="K3" s="19" t="str">
        <f>IF(D4&lt;&gt;0,E4," ")</f>
        <v xml:space="preserve"> </v>
      </c>
      <c r="L3" s="16" t="str">
        <f>IF(D4&lt;&gt;0,IF(J3&lt;K3,"3",IF(J3&gt;K3,"0","1")),"")</f>
        <v/>
      </c>
      <c r="M3" s="19" t="str">
        <f>IF(D4&lt;&gt;0,H4," ")</f>
        <v xml:space="preserve"> </v>
      </c>
      <c r="N3" s="223">
        <f>IF(D5&lt;&gt;0,D5," ")</f>
        <v>44759</v>
      </c>
      <c r="O3" s="224">
        <f>IF(D5&lt;&gt;0,F5," ")</f>
        <v>4</v>
      </c>
      <c r="P3" s="224">
        <f>IF(D5&lt;&gt;0,E5," ")</f>
        <v>4</v>
      </c>
      <c r="Q3" s="225" t="str">
        <f>IF(D5&lt;&gt;0,IF(O3&lt;P3,"3",IF(O3&gt;P3,"0","1")),"")</f>
        <v>1</v>
      </c>
      <c r="R3" s="224">
        <f>IF(D5&lt;&gt;0,H5," ")</f>
        <v>2</v>
      </c>
      <c r="S3" s="89" t="str">
        <f>IF(D6&lt;&gt;0,D6," ")</f>
        <v xml:space="preserve"> </v>
      </c>
      <c r="T3" s="90" t="str">
        <f>IF(D6&lt;&gt;0,F6," ")</f>
        <v xml:space="preserve"> </v>
      </c>
      <c r="U3" s="90" t="str">
        <f>IF(D6&lt;&gt;0,E6," ")</f>
        <v xml:space="preserve"> </v>
      </c>
      <c r="V3" s="16" t="str">
        <f>IF(D6&lt;&gt;0,IF(T3&lt;U3,"3",IF(T3&gt;U3,"0","1")),"")</f>
        <v/>
      </c>
      <c r="W3" s="18" t="str">
        <f>IF(D6&lt;&gt;0,H6," ")</f>
        <v xml:space="preserve"> </v>
      </c>
      <c r="X3" s="226">
        <f>IF(D7&lt;&gt;0,D7," ")</f>
        <v>44766</v>
      </c>
      <c r="Y3" s="227">
        <f>IF(D7&lt;&gt;0,F7," ")</f>
        <v>0</v>
      </c>
      <c r="Z3" s="224">
        <f>IF(D7&lt;&gt;0,E7," ")</f>
        <v>0</v>
      </c>
      <c r="AA3" s="225" t="str">
        <f>IF(D7&lt;&gt;0,IF(Y3&lt;Z3,"3",IF(Y3&gt;Z3,"0","1")),"")</f>
        <v>1</v>
      </c>
      <c r="AB3" s="227" t="str">
        <f>IF(D7&lt;&gt;0,H7," ")</f>
        <v>W</v>
      </c>
      <c r="AC3" s="12" t="str">
        <f>IF(D8&lt;&gt;0,D8," ")</f>
        <v xml:space="preserve"> </v>
      </c>
      <c r="AD3" s="18" t="str">
        <f>IF(D8&lt;&gt;0,F8," ")</f>
        <v xml:space="preserve"> </v>
      </c>
      <c r="AE3" s="90" t="str">
        <f>IF(D8&lt;&gt;0,E8," ")</f>
        <v xml:space="preserve"> </v>
      </c>
      <c r="AF3" s="16" t="str">
        <f>IF(D8&lt;&gt;0,IF(AD3&lt;AE3,"3",IF(AD3&gt;AE3,"0","1")),"")</f>
        <v/>
      </c>
      <c r="AG3" s="18" t="str">
        <f>IF(D8&lt;&gt;0,H8," ")</f>
        <v xml:space="preserve"> </v>
      </c>
      <c r="AH3" s="12" t="str">
        <f>IF(D9&lt;&gt;0,D9," ")</f>
        <v xml:space="preserve"> </v>
      </c>
      <c r="AI3" s="18" t="str">
        <f>IF(D9&lt;&gt;0,F9," ")</f>
        <v xml:space="preserve"> </v>
      </c>
      <c r="AJ3" s="19" t="str">
        <f>IF(D9&lt;&gt;0,E9," ")</f>
        <v xml:space="preserve"> </v>
      </c>
      <c r="AK3" s="16" t="str">
        <f>IF(D9&lt;&gt;0,IF(AI3&lt;AJ3,"3",IF(AI3&gt;AJ3,"0","1")),"")</f>
        <v/>
      </c>
      <c r="AL3" s="18" t="str">
        <f>IF(D9&lt;&gt;0,H9," ")</f>
        <v xml:space="preserve"> </v>
      </c>
      <c r="AM3" s="12" t="str">
        <f>IF(D10&lt;&gt;0,D10," ")</f>
        <v xml:space="preserve"> </v>
      </c>
      <c r="AN3" s="18" t="str">
        <f>IF(D10&lt;&gt;0,F10," ")</f>
        <v xml:space="preserve"> </v>
      </c>
      <c r="AO3" s="19" t="str">
        <f>IF(D10&lt;&gt;0,E10," ")</f>
        <v xml:space="preserve"> </v>
      </c>
      <c r="AP3" s="16" t="str">
        <f>IF(D10&lt;&gt;0,IF(AN3&lt;AO3,"3",IF(AN3&gt;AO3,"0","1")),"")</f>
        <v/>
      </c>
      <c r="AQ3" s="18" t="str">
        <f>IF(D10&lt;&gt;0,H10," ")</f>
        <v xml:space="preserve"> </v>
      </c>
      <c r="AR3" s="12" t="str">
        <f>IF(D11&lt;&gt;0,D11," ")</f>
        <v xml:space="preserve"> </v>
      </c>
      <c r="AS3" s="18" t="str">
        <f>IF(D11&lt;&gt;0,F11," ")</f>
        <v xml:space="preserve"> </v>
      </c>
      <c r="AT3" s="19" t="str">
        <f>IF(D11&lt;&gt;0,E11," ")</f>
        <v xml:space="preserve"> </v>
      </c>
      <c r="AU3" s="16" t="str">
        <f>IF(D11&lt;&gt;0,IF(AS3&lt;AT3,"3",IF(AS3&gt;AT3,"0","1")),"")</f>
        <v/>
      </c>
      <c r="AV3" s="18" t="str">
        <f>IF(D11&lt;&gt;0,H11," ")</f>
        <v xml:space="preserve"> </v>
      </c>
      <c r="AW3" s="12" t="str">
        <f>IF(D12&lt;&gt;0,D12," ")</f>
        <v xml:space="preserve"> </v>
      </c>
      <c r="AX3" s="18" t="str">
        <f>IF(D12&lt;&gt;0,F12," ")</f>
        <v xml:space="preserve"> </v>
      </c>
      <c r="AY3" s="19" t="str">
        <f>IF(D12&lt;&gt;0,E12," ")</f>
        <v xml:space="preserve"> </v>
      </c>
      <c r="AZ3" s="16" t="str">
        <f>IF(D12&lt;&gt;0,IF(AX3&lt;AY3,"3",IF(AX3&gt;AY3,"0","1")),"")</f>
        <v/>
      </c>
      <c r="BA3" s="18" t="str">
        <f>IF(D12&lt;&gt;0,H12," ")</f>
        <v xml:space="preserve"> </v>
      </c>
      <c r="BB3" s="12" t="str">
        <f>IF(D13&lt;&gt;0,D13," ")</f>
        <v xml:space="preserve"> </v>
      </c>
      <c r="BC3" s="18" t="str">
        <f>IF(D13&lt;&gt;0,F13," ")</f>
        <v xml:space="preserve"> </v>
      </c>
      <c r="BD3" s="19" t="str">
        <f>IF(D13&lt;&gt;0,E13," ")</f>
        <v xml:space="preserve"> </v>
      </c>
      <c r="BE3" s="16" t="str">
        <f>IF(D13&lt;&gt;0,IF(BC3&lt;BD3,"3",IF(BC3&gt;BD3,"0","1")),"")</f>
        <v/>
      </c>
      <c r="BF3" s="18" t="str">
        <f>IF(D13&lt;&gt;0,H13," ")</f>
        <v xml:space="preserve"> </v>
      </c>
      <c r="BG3" s="12" t="str">
        <f>IF(D14&lt;&gt;0,D14," ")</f>
        <v xml:space="preserve"> </v>
      </c>
      <c r="BH3" s="18" t="str">
        <f>IF(D14&lt;&gt;0,F14," ")</f>
        <v xml:space="preserve"> </v>
      </c>
      <c r="BI3" s="19" t="str">
        <f>IF(D14&lt;&gt;0,E14," ")</f>
        <v xml:space="preserve"> </v>
      </c>
      <c r="BJ3" s="16" t="str">
        <f>IF(D14&lt;&gt;0,IF(BH3&lt;BI3,"3",IF(BH3&gt;BI3,"0","1")),"")</f>
        <v/>
      </c>
      <c r="BK3" s="18" t="str">
        <f>IF(D14&lt;&gt;0,H14," ")</f>
        <v xml:space="preserve"> </v>
      </c>
    </row>
    <row r="4" spans="1:63" x14ac:dyDescent="0.25">
      <c r="A4" s="143"/>
      <c r="B4" s="240">
        <v>2</v>
      </c>
      <c r="C4" s="87" t="s">
        <v>176</v>
      </c>
      <c r="D4" s="93"/>
      <c r="E4" s="94"/>
      <c r="F4" s="94"/>
      <c r="G4" s="95" t="str">
        <f>IF(D4&lt;&gt;0,IF(E4&lt;F4,"3",IF(E4&gt;F4,"0","1")),"")</f>
        <v/>
      </c>
      <c r="H4" s="95"/>
      <c r="I4" s="243" t="s">
        <v>66</v>
      </c>
      <c r="J4" s="243"/>
      <c r="K4" s="243"/>
      <c r="L4" s="243"/>
      <c r="M4" s="243"/>
      <c r="N4" s="226">
        <f>IF(I5&lt;&gt;0,I5," ")</f>
        <v>44765</v>
      </c>
      <c r="O4" s="227">
        <f>IF(I5&lt;&gt;0,K5," ")</f>
        <v>1</v>
      </c>
      <c r="P4" s="224">
        <f>IF(I5&lt;&gt;0,J5," ")</f>
        <v>5</v>
      </c>
      <c r="Q4" s="225" t="str">
        <f>IF(I5&lt;&gt;0,IF(O4&lt;P4,"3",IF(O4&gt;P4,"0","1")),"")</f>
        <v>3</v>
      </c>
      <c r="R4" s="227">
        <f>IF(I5&lt;&gt;0,M5," ")</f>
        <v>1</v>
      </c>
      <c r="S4" s="226">
        <f>IF(I6&lt;&gt;0,I6," ")</f>
        <v>44759</v>
      </c>
      <c r="T4" s="227">
        <f>IF(I6&lt;&gt;0,K6," ")</f>
        <v>0</v>
      </c>
      <c r="U4" s="224">
        <f>IF(I6&lt;&gt;0,J6," ")</f>
        <v>6</v>
      </c>
      <c r="V4" s="225" t="str">
        <f>IF(I6&lt;&gt;0,IF(T4&lt;U4,"3",IF(T4&gt;U4,"0","1")),"")</f>
        <v>3</v>
      </c>
      <c r="W4" s="227">
        <f>IF(I6&lt;&gt;0,M6," ")</f>
        <v>3</v>
      </c>
      <c r="X4" s="12" t="str">
        <f>IF(I7&lt;&gt;0,I7," ")</f>
        <v xml:space="preserve"> </v>
      </c>
      <c r="Y4" s="18" t="str">
        <f>IF(I7&lt;&gt;0,K7," ")</f>
        <v xml:space="preserve"> </v>
      </c>
      <c r="Z4" s="19" t="str">
        <f>IF(I7&lt;&gt;0,J7," ")</f>
        <v xml:space="preserve"> </v>
      </c>
      <c r="AA4" s="16" t="str">
        <f>IF(I7&lt;&gt;0,IF(Y4&lt;Z4,"3",IF(Y4&gt;Z4,"0","1")),"")</f>
        <v/>
      </c>
      <c r="AB4" s="18" t="str">
        <f>IF(I7&lt;&gt;0,M7," ")</f>
        <v xml:space="preserve"> </v>
      </c>
      <c r="AC4" s="226" t="str">
        <f>IF(I8&lt;&gt;0,I8," ")</f>
        <v xml:space="preserve"> </v>
      </c>
      <c r="AD4" s="227" t="str">
        <f>IF(I8&lt;&gt;0,K8," ")</f>
        <v xml:space="preserve"> </v>
      </c>
      <c r="AE4" s="227" t="str">
        <f>IF(I8&lt;&gt;0,J8," ")</f>
        <v xml:space="preserve"> </v>
      </c>
      <c r="AF4" s="225" t="str">
        <f>IF(I8&lt;&gt;0,IF(AD4&lt;AE4,"3",IF(AD4&gt;AE4,"0","1")),"")</f>
        <v/>
      </c>
      <c r="AG4" s="227" t="str">
        <f>IF(I8&lt;&gt;0,M8," ")</f>
        <v xml:space="preserve"> </v>
      </c>
      <c r="AH4" s="12" t="str">
        <f>IF(I9&lt;&gt;0,I9," ")</f>
        <v xml:space="preserve"> </v>
      </c>
      <c r="AI4" s="18" t="str">
        <f>IF(I9&lt;&gt;0,K9," ")</f>
        <v xml:space="preserve"> </v>
      </c>
      <c r="AJ4" s="19" t="str">
        <f>IF(I9&lt;&gt;0,J9," ")</f>
        <v xml:space="preserve"> </v>
      </c>
      <c r="AK4" s="16" t="str">
        <f>IF(I9&lt;&gt;0,IF(AI4&lt;AJ4,"3",IF(AI4&gt;AJ4,"0","1")),"")</f>
        <v/>
      </c>
      <c r="AL4" s="18" t="str">
        <f>IF(I9&lt;&gt;0,M9," ")</f>
        <v xml:space="preserve"> </v>
      </c>
      <c r="AM4" s="12" t="str">
        <f>IF(I10&lt;&gt;0,I10," ")</f>
        <v xml:space="preserve"> </v>
      </c>
      <c r="AN4" s="18" t="str">
        <f>IF(I10&lt;&gt;0,K10," ")</f>
        <v xml:space="preserve"> </v>
      </c>
      <c r="AO4" s="18" t="str">
        <f>IF(I10&lt;&gt;0,J10," ")</f>
        <v xml:space="preserve"> </v>
      </c>
      <c r="AP4" s="16" t="str">
        <f>IF(I10&lt;&gt;0,IF(AN4&lt;AO4,"3",IF(AN4&gt;AO4,"0","1")),"")</f>
        <v/>
      </c>
      <c r="AQ4" s="18" t="str">
        <f>IF(I10&lt;&gt;0,M10," ")</f>
        <v xml:space="preserve"> </v>
      </c>
      <c r="AR4" s="12" t="str">
        <f>IF(I11&lt;&gt;0,I11," ")</f>
        <v xml:space="preserve"> </v>
      </c>
      <c r="AS4" s="18" t="str">
        <f>IF(I11&lt;&gt;0,K11," ")</f>
        <v xml:space="preserve"> </v>
      </c>
      <c r="AT4" s="18" t="str">
        <f>IF(I11&lt;&gt;0,J11," ")</f>
        <v xml:space="preserve"> </v>
      </c>
      <c r="AU4" s="16" t="str">
        <f>IF(I11&lt;&gt;0,IF(AS4&lt;AT4,"3",IF(AS4&gt;AT4,"0","1")),"")</f>
        <v/>
      </c>
      <c r="AV4" s="18" t="str">
        <f>IF(I11&lt;&gt;0,M11," ")</f>
        <v xml:space="preserve"> </v>
      </c>
      <c r="AW4" s="12" t="str">
        <f>IF(I12&lt;&gt;0,I12," ")</f>
        <v xml:space="preserve"> </v>
      </c>
      <c r="AX4" s="18" t="str">
        <f>IF(I12&lt;&gt;0,K12," ")</f>
        <v xml:space="preserve"> </v>
      </c>
      <c r="AY4" s="18" t="str">
        <f>IF(I12&lt;&gt;0,J12," ")</f>
        <v xml:space="preserve"> </v>
      </c>
      <c r="AZ4" s="16" t="str">
        <f>IF(I12&lt;&gt;0,IF(AX4&lt;AY4,"3",IF(AX4&gt;AY4,"0","1")),"")</f>
        <v/>
      </c>
      <c r="BA4" s="18" t="str">
        <f>IF(I12&lt;&gt;0,M12," ")</f>
        <v xml:space="preserve"> </v>
      </c>
      <c r="BB4" s="12" t="str">
        <f>IF(I13&lt;&gt;0,I13," ")</f>
        <v xml:space="preserve"> </v>
      </c>
      <c r="BC4" s="18" t="str">
        <f>IF(I13&lt;&gt;0,K13," ")</f>
        <v xml:space="preserve"> </v>
      </c>
      <c r="BD4" s="19" t="str">
        <f>IF(I13&lt;&gt;0,J13," ")</f>
        <v xml:space="preserve"> </v>
      </c>
      <c r="BE4" s="16" t="str">
        <f>IF(I13&lt;&gt;0,IF(BC4&lt;BD4,"3",IF(BC4&gt;BD4,"0","1")),"")</f>
        <v/>
      </c>
      <c r="BF4" s="18" t="str">
        <f>IF(I13&lt;&gt;0,M13," ")</f>
        <v xml:space="preserve"> </v>
      </c>
      <c r="BG4" s="12" t="str">
        <f>IF(I14&lt;&gt;0,I14," ")</f>
        <v xml:space="preserve"> </v>
      </c>
      <c r="BH4" s="18" t="str">
        <f>IF(I14&lt;&gt;0,K14," ")</f>
        <v xml:space="preserve"> </v>
      </c>
      <c r="BI4" s="19" t="str">
        <f>IF(I14&lt;&gt;0,J14," ")</f>
        <v xml:space="preserve"> </v>
      </c>
      <c r="BJ4" s="16" t="str">
        <f>IF(I14&lt;&gt;0,IF(BH4&lt;BI4,"3",IF(BH4&gt;BI4,"0","1")),"")</f>
        <v/>
      </c>
      <c r="BK4" s="18" t="str">
        <f>IF(I14&lt;&gt;0,M14," ")</f>
        <v xml:space="preserve"> </v>
      </c>
    </row>
    <row r="5" spans="1:63" x14ac:dyDescent="0.25">
      <c r="A5" s="143" t="s">
        <v>247</v>
      </c>
      <c r="B5" s="240">
        <v>3</v>
      </c>
      <c r="C5" s="87" t="s">
        <v>171</v>
      </c>
      <c r="D5" s="220">
        <v>44759</v>
      </c>
      <c r="E5" s="221">
        <v>4</v>
      </c>
      <c r="F5" s="221">
        <v>4</v>
      </c>
      <c r="G5" s="222" t="str">
        <f t="shared" ref="G5:G14" si="0">IF(D5&lt;&gt;0,IF(E5&lt;F5,"3",IF(E5&gt;F5,"0","1")),"")</f>
        <v>1</v>
      </c>
      <c r="H5" s="222">
        <v>2</v>
      </c>
      <c r="I5" s="220">
        <v>44765</v>
      </c>
      <c r="J5" s="221">
        <v>5</v>
      </c>
      <c r="K5" s="221">
        <v>1</v>
      </c>
      <c r="L5" s="222" t="str">
        <f>IF(I5&lt;&gt;0,IF(J5&lt;K5,"3",IF(J5&gt;K5,"0","1")),"")</f>
        <v>0</v>
      </c>
      <c r="M5" s="222">
        <v>1</v>
      </c>
      <c r="N5" s="243" t="s">
        <v>66</v>
      </c>
      <c r="O5" s="243"/>
      <c r="P5" s="243"/>
      <c r="Q5" s="243"/>
      <c r="R5" s="243"/>
      <c r="S5" s="226" t="str">
        <f>IF(N6&lt;&gt;0,N6," ")</f>
        <v xml:space="preserve"> </v>
      </c>
      <c r="T5" s="227" t="str">
        <f>IF(N6&lt;&gt;0,P6," ")</f>
        <v xml:space="preserve"> </v>
      </c>
      <c r="U5" s="224" t="str">
        <f>IF(N6&lt;&gt;0,O6," ")</f>
        <v xml:space="preserve"> </v>
      </c>
      <c r="V5" s="225" t="str">
        <f>IF(N6&lt;&gt;0,IF(T5&lt;U5,"3",IF(T5&gt;U5,"0","1")),"")</f>
        <v/>
      </c>
      <c r="W5" s="227" t="str">
        <f>IF(N6&lt;&gt;0,R6," ")</f>
        <v xml:space="preserve"> </v>
      </c>
      <c r="X5" s="12" t="str">
        <f>IF(N7&lt;&gt;0,N7," ")</f>
        <v xml:space="preserve"> </v>
      </c>
      <c r="Y5" s="18" t="str">
        <f>IF(N7&lt;&gt;0,P7," ")</f>
        <v xml:space="preserve"> </v>
      </c>
      <c r="Z5" s="19" t="str">
        <f>IF(N7&lt;&gt;0,O7," ")</f>
        <v xml:space="preserve"> </v>
      </c>
      <c r="AA5" s="16" t="str">
        <f>IF(N7&lt;&gt;0,IF(Y5&lt;Z5,"3",IF(Y5&gt;Z5,"0","1")),"")</f>
        <v/>
      </c>
      <c r="AB5" s="18" t="str">
        <f>IF(N7&lt;&gt;0,R7," ")</f>
        <v xml:space="preserve"> </v>
      </c>
      <c r="AC5" s="12" t="str">
        <f>IF(N8&lt;&gt;0,N8," ")</f>
        <v xml:space="preserve"> </v>
      </c>
      <c r="AD5" s="18" t="str">
        <f>IF(N8&lt;&gt;0,P8," ")</f>
        <v xml:space="preserve"> </v>
      </c>
      <c r="AE5" s="18" t="str">
        <f>IF(N8&lt;&gt;0,O8," ")</f>
        <v xml:space="preserve"> </v>
      </c>
      <c r="AF5" s="16" t="str">
        <f>IF(N8&lt;&gt;0,IF(AD5&lt;AE5,"3",IF(AD5&gt;AE5,"0","1")),"")</f>
        <v/>
      </c>
      <c r="AG5" s="18" t="str">
        <f>IF(N8&lt;&gt;0,R8," ")</f>
        <v xml:space="preserve"> </v>
      </c>
      <c r="AH5" s="12" t="str">
        <f>IF(N9&lt;&gt;0,N9," ")</f>
        <v xml:space="preserve"> </v>
      </c>
      <c r="AI5" s="18" t="str">
        <f>IF(N9&lt;&gt;0,P9," ")</f>
        <v xml:space="preserve"> </v>
      </c>
      <c r="AJ5" s="19" t="str">
        <f>IF(N9&lt;&gt;0,O9," ")</f>
        <v xml:space="preserve"> </v>
      </c>
      <c r="AK5" s="16" t="str">
        <f>IF(N9&lt;&gt;0,IF(AI5&lt;AJ5,"3",IF(AI5&gt;AJ5,"0","1")),"")</f>
        <v/>
      </c>
      <c r="AL5" s="18" t="str">
        <f>IF(N9&lt;&gt;0,R9," ")</f>
        <v xml:space="preserve"> </v>
      </c>
      <c r="AM5" s="12" t="str">
        <f>IF(N10&lt;&gt;0,N10," ")</f>
        <v xml:space="preserve"> </v>
      </c>
      <c r="AN5" s="18" t="str">
        <f>IF(N10&lt;&gt;0,P10," ")</f>
        <v xml:space="preserve"> </v>
      </c>
      <c r="AO5" s="19" t="str">
        <f>IF(N10&lt;&gt;0,O10," ")</f>
        <v xml:space="preserve"> </v>
      </c>
      <c r="AP5" s="16" t="str">
        <f>IF(N10&lt;&gt;0,IF(AN5&lt;AO5,"3",IF(AN5&gt;AO5,"0","1")),"")</f>
        <v/>
      </c>
      <c r="AQ5" s="18" t="str">
        <f>IF(N10&lt;&gt;0,R10," ")</f>
        <v xml:space="preserve"> </v>
      </c>
      <c r="AR5" s="12" t="str">
        <f>IF(N11&lt;&gt;0,N11," ")</f>
        <v xml:space="preserve"> </v>
      </c>
      <c r="AS5" s="18" t="str">
        <f>IF(N11&lt;&gt;0,P11," ")</f>
        <v xml:space="preserve"> </v>
      </c>
      <c r="AT5" s="19" t="str">
        <f>IF(N11&lt;&gt;0,O11," ")</f>
        <v xml:space="preserve"> </v>
      </c>
      <c r="AU5" s="16" t="str">
        <f>IF(N11&lt;&gt;0,IF(AS5&lt;AT5,"3",IF(AS5&gt;AT5,"0","1")),"")</f>
        <v/>
      </c>
      <c r="AV5" s="18" t="str">
        <f>IF(N11&lt;&gt;0,R11," ")</f>
        <v xml:space="preserve"> </v>
      </c>
      <c r="AW5" s="12" t="str">
        <f>IF(N12&lt;&gt;0,N12," ")</f>
        <v xml:space="preserve"> </v>
      </c>
      <c r="AX5" s="18" t="str">
        <f>IF(N12&lt;&gt;0,P12," ")</f>
        <v xml:space="preserve"> </v>
      </c>
      <c r="AY5" s="18" t="str">
        <f>IF(N12&lt;&gt;0,O12," ")</f>
        <v xml:space="preserve"> </v>
      </c>
      <c r="AZ5" s="16" t="str">
        <f>IF(N12&lt;&gt;0,IF(AX5&lt;AY5,"3",IF(AX5&gt;AY5,"0","1")),"")</f>
        <v/>
      </c>
      <c r="BA5" s="18" t="str">
        <f>IF(N12&lt;&gt;0,R12," ")</f>
        <v xml:space="preserve"> </v>
      </c>
      <c r="BB5" s="12" t="str">
        <f>IF(N13&lt;&gt;0,N13," ")</f>
        <v xml:space="preserve"> </v>
      </c>
      <c r="BC5" s="18" t="str">
        <f>IF(N13&lt;&gt;0,P13," ")</f>
        <v xml:space="preserve"> </v>
      </c>
      <c r="BD5" s="19" t="str">
        <f>IF(N13&lt;&gt;0,O13," ")</f>
        <v xml:space="preserve"> </v>
      </c>
      <c r="BE5" s="16" t="str">
        <f>IF(N13&lt;&gt;0,IF(BC5&lt;BD5,"3",IF(BC5&gt;BD5,"0","1")),"")</f>
        <v/>
      </c>
      <c r="BF5" s="18" t="str">
        <f>IF(N13&lt;&gt;0,R13," ")</f>
        <v xml:space="preserve"> </v>
      </c>
      <c r="BG5" s="12" t="str">
        <f>IF(N14&lt;&gt;0,N14," ")</f>
        <v xml:space="preserve"> </v>
      </c>
      <c r="BH5" s="18" t="str">
        <f>IF(N14&lt;&gt;0,P14," ")</f>
        <v xml:space="preserve"> </v>
      </c>
      <c r="BI5" s="19" t="str">
        <f>IF(N14&lt;&gt;0,O14," ")</f>
        <v xml:space="preserve"> </v>
      </c>
      <c r="BJ5" s="16" t="str">
        <f>IF(N14&lt;&gt;0,IF(BH5&lt;BI5,"3",IF(BH5&gt;BI5,"0","1")),"")</f>
        <v/>
      </c>
      <c r="BK5" s="18" t="str">
        <f>IF(N14&lt;&gt;0,R14," ")</f>
        <v xml:space="preserve"> </v>
      </c>
    </row>
    <row r="6" spans="1:63" x14ac:dyDescent="0.25">
      <c r="A6" s="143"/>
      <c r="B6" s="240">
        <v>4</v>
      </c>
      <c r="C6" s="142" t="s">
        <v>148</v>
      </c>
      <c r="D6" s="93"/>
      <c r="E6" s="94"/>
      <c r="F6" s="94"/>
      <c r="G6" s="95" t="str">
        <f t="shared" si="0"/>
        <v/>
      </c>
      <c r="H6" s="95"/>
      <c r="I6" s="220">
        <v>44759</v>
      </c>
      <c r="J6" s="221">
        <v>6</v>
      </c>
      <c r="K6" s="221">
        <v>0</v>
      </c>
      <c r="L6" s="222" t="str">
        <f t="shared" ref="L6:L14" si="1">IF(I6&lt;&gt;0,IF(J6&lt;K6,"3",IF(J6&gt;K6,"0","1")),"")</f>
        <v>0</v>
      </c>
      <c r="M6" s="222">
        <v>3</v>
      </c>
      <c r="N6" s="220"/>
      <c r="O6" s="221"/>
      <c r="P6" s="221"/>
      <c r="Q6" s="222" t="str">
        <f>IF(N6&lt;&gt;0,IF(O6&lt;P6,"3",IF(O6&gt;P6,"0","1")),"")</f>
        <v/>
      </c>
      <c r="R6" s="222"/>
      <c r="S6" s="243" t="s">
        <v>66</v>
      </c>
      <c r="T6" s="243"/>
      <c r="U6" s="243"/>
      <c r="V6" s="243"/>
      <c r="W6" s="243"/>
      <c r="X6" s="12" t="str">
        <f>IF(S7&lt;&gt;0,S7," ")</f>
        <v xml:space="preserve"> </v>
      </c>
      <c r="Y6" s="18" t="str">
        <f>IF(S7&lt;&gt;0,U7," ")</f>
        <v xml:space="preserve"> </v>
      </c>
      <c r="Z6" s="18" t="str">
        <f>IF(S7&lt;&gt;0,T7," ")</f>
        <v xml:space="preserve"> </v>
      </c>
      <c r="AA6" s="16" t="str">
        <f>IF(S7&lt;&gt;0,IF(Y6&lt;Z6,"3",IF(Y6&gt;Z6,"0","1")),"")</f>
        <v/>
      </c>
      <c r="AB6" s="18" t="str">
        <f>IF(S7&lt;&gt;0,W7," ")</f>
        <v xml:space="preserve"> </v>
      </c>
      <c r="AC6" s="12" t="str">
        <f>IF(S8&lt;&gt;0,S8," ")</f>
        <v xml:space="preserve"> </v>
      </c>
      <c r="AD6" s="18" t="str">
        <f>IF(S8&lt;&gt;0,U8," ")</f>
        <v xml:space="preserve"> </v>
      </c>
      <c r="AE6" s="19" t="str">
        <f>IF(S8&lt;&gt;0,T8," ")</f>
        <v xml:space="preserve"> </v>
      </c>
      <c r="AF6" s="16" t="str">
        <f>IF(S8&lt;&gt;0,IF(AD6&lt;AE6,"3",IF(AD6&gt;AE6,"0","1")),"")</f>
        <v/>
      </c>
      <c r="AG6" s="18" t="str">
        <f>IF(S8&lt;&gt;0,W8," ")</f>
        <v xml:space="preserve"> </v>
      </c>
      <c r="AH6" s="226">
        <f>IF(S9&lt;&gt;0,S9," ")</f>
        <v>44766</v>
      </c>
      <c r="AI6" s="227">
        <f>IF(S9&lt;&gt;0,U9," ")</f>
        <v>3</v>
      </c>
      <c r="AJ6" s="224">
        <f>IF(S9&lt;&gt;0,T9," ")</f>
        <v>2</v>
      </c>
      <c r="AK6" s="225" t="str">
        <f>IF(S9&lt;&gt;0,IF(AI6&lt;AJ6,"3",IF(AI6&gt;AJ6,"0","1")),"")</f>
        <v>0</v>
      </c>
      <c r="AL6" s="227">
        <f>IF(S9&lt;&gt;0,W9," ")</f>
        <v>1</v>
      </c>
      <c r="AM6" s="12" t="str">
        <f>IF(S10&lt;&gt;0,S10," ")</f>
        <v xml:space="preserve"> </v>
      </c>
      <c r="AN6" s="18" t="str">
        <f>IF(S10&lt;&gt;0,U10," ")</f>
        <v xml:space="preserve"> </v>
      </c>
      <c r="AO6" s="19" t="str">
        <f>IF(S10&lt;&gt;0,T10," ")</f>
        <v xml:space="preserve"> </v>
      </c>
      <c r="AP6" s="16" t="str">
        <f>IF(S10&lt;&gt;0,IF(AN6&lt;AO6,"3",IF(AN6&gt;AO6,"0","1")),"")</f>
        <v/>
      </c>
      <c r="AQ6" s="18" t="str">
        <f>IF(S10&lt;&gt;0,W10," ")</f>
        <v xml:space="preserve"> </v>
      </c>
      <c r="AR6" s="12" t="str">
        <f>IF(S11&lt;&gt;0,S11," ")</f>
        <v xml:space="preserve"> </v>
      </c>
      <c r="AS6" s="18" t="str">
        <f>IF(S11&lt;&gt;0,U11," ")</f>
        <v xml:space="preserve"> </v>
      </c>
      <c r="AT6" s="18" t="str">
        <f>IF(S11&lt;&gt;0,T11," ")</f>
        <v xml:space="preserve"> </v>
      </c>
      <c r="AU6" s="16" t="str">
        <f>IF(S11&lt;&gt;0,IF(AS6&lt;AT6,"3",IF(AS6&gt;AT6,"0","1")),"")</f>
        <v/>
      </c>
      <c r="AV6" s="18" t="str">
        <f>IF(S11&lt;&gt;0,W11," ")</f>
        <v xml:space="preserve"> </v>
      </c>
      <c r="AW6" s="12" t="str">
        <f>IF(S12&lt;&gt;0,S12," ")</f>
        <v xml:space="preserve"> </v>
      </c>
      <c r="AX6" s="18" t="str">
        <f>IF(S12&lt;&gt;0,U12," ")</f>
        <v xml:space="preserve"> </v>
      </c>
      <c r="AY6" s="18" t="str">
        <f>IF(S12&lt;&gt;0,T12," ")</f>
        <v xml:space="preserve"> </v>
      </c>
      <c r="AZ6" s="16" t="str">
        <f>IF(S12&lt;&gt;0,IF(AX6&lt;AY6,"3",IF(AX6&gt;AY6,"0","1")),"")</f>
        <v/>
      </c>
      <c r="BA6" s="18" t="str">
        <f>IF(S12&lt;&gt;0,W12," ")</f>
        <v xml:space="preserve"> </v>
      </c>
      <c r="BB6" s="12" t="str">
        <f>IF(S13&lt;&gt;0,S13," ")</f>
        <v xml:space="preserve"> </v>
      </c>
      <c r="BC6" s="18" t="str">
        <f>IF(S13&lt;&gt;0,U13," ")</f>
        <v xml:space="preserve"> </v>
      </c>
      <c r="BD6" s="19" t="str">
        <f>IF(S13&lt;&gt;0,T13," ")</f>
        <v xml:space="preserve"> </v>
      </c>
      <c r="BE6" s="16" t="str">
        <f>IF(S13&lt;&gt;0,IF(BC6&lt;BD6,"3",IF(BC6&gt;BD6,"0","1")),"")</f>
        <v/>
      </c>
      <c r="BF6" s="18" t="str">
        <f>IF(S13&lt;&gt;0,W13," ")</f>
        <v xml:space="preserve"> </v>
      </c>
      <c r="BG6" s="12" t="str">
        <f>IF(S14&lt;&gt;0,S14," ")</f>
        <v xml:space="preserve"> </v>
      </c>
      <c r="BH6" s="18" t="str">
        <f>IF(S14&lt;&gt;0,U14," ")</f>
        <v xml:space="preserve"> </v>
      </c>
      <c r="BI6" s="19" t="str">
        <f>IF(S14&lt;&gt;0,T14," ")</f>
        <v xml:space="preserve"> </v>
      </c>
      <c r="BJ6" s="16" t="str">
        <f>IF(S14&lt;&gt;0,IF(BH6&lt;BI6,"3",IF(BH6&gt;BI6,"0","1")),"")</f>
        <v/>
      </c>
      <c r="BK6" s="18" t="str">
        <f>IF(S14&lt;&gt;0,W14," ")</f>
        <v xml:space="preserve"> </v>
      </c>
    </row>
    <row r="7" spans="1:63" x14ac:dyDescent="0.25">
      <c r="A7" s="143" t="s">
        <v>235</v>
      </c>
      <c r="B7" s="230">
        <v>5</v>
      </c>
      <c r="C7" s="87" t="s">
        <v>215</v>
      </c>
      <c r="D7" s="220">
        <v>44766</v>
      </c>
      <c r="E7" s="221">
        <v>0</v>
      </c>
      <c r="F7" s="221">
        <v>0</v>
      </c>
      <c r="G7" s="222" t="str">
        <f t="shared" si="0"/>
        <v>1</v>
      </c>
      <c r="H7" s="222" t="s">
        <v>246</v>
      </c>
      <c r="I7" s="93"/>
      <c r="J7" s="94"/>
      <c r="K7" s="94"/>
      <c r="L7" s="95" t="str">
        <f t="shared" si="1"/>
        <v/>
      </c>
      <c r="M7" s="95"/>
      <c r="N7" s="93"/>
      <c r="O7" s="94"/>
      <c r="P7" s="94"/>
      <c r="Q7" s="95" t="str">
        <f t="shared" ref="Q7:Q14" si="2">IF(N7&lt;&gt;0,IF(O7&lt;P7,"3",IF(O7&gt;P7,"0","1")),"")</f>
        <v/>
      </c>
      <c r="R7" s="95"/>
      <c r="S7" s="93"/>
      <c r="T7" s="94"/>
      <c r="U7" s="94"/>
      <c r="V7" s="95" t="str">
        <f>IF(S7&lt;&gt;0,IF(T7&lt;U7,"3",IF(T7&gt;U7,"0","1")),"")</f>
        <v/>
      </c>
      <c r="W7" s="95"/>
      <c r="X7" s="243" t="s">
        <v>66</v>
      </c>
      <c r="Y7" s="243"/>
      <c r="Z7" s="243"/>
      <c r="AA7" s="243"/>
      <c r="AB7" s="243"/>
      <c r="AC7" s="12" t="str">
        <f>IF(X8&lt;&gt;0,X8," ")</f>
        <v xml:space="preserve"> </v>
      </c>
      <c r="AD7" s="18" t="str">
        <f>IF(X8&lt;&gt;0,Z8," ")</f>
        <v xml:space="preserve"> </v>
      </c>
      <c r="AE7" s="19" t="str">
        <f>IF(X8&lt;&gt;0,Y8," ")</f>
        <v xml:space="preserve"> </v>
      </c>
      <c r="AF7" s="16" t="str">
        <f>IF(X8&lt;&gt;0,IF(AD7&lt;AE7,"3",IF(AD7&gt;AE7,"0","1")),"")</f>
        <v/>
      </c>
      <c r="AG7" s="18" t="str">
        <f>IF(X8&lt;&gt;0,AB8," ")</f>
        <v xml:space="preserve"> </v>
      </c>
      <c r="AH7" s="12" t="str">
        <f>IF(X9&lt;&gt;0,X9," ")</f>
        <v xml:space="preserve"> </v>
      </c>
      <c r="AI7" s="18" t="str">
        <f>IF(X9&lt;&gt;0,Z9," ")</f>
        <v xml:space="preserve"> </v>
      </c>
      <c r="AJ7" s="18" t="str">
        <f>IF(X9&lt;&gt;0,Y9," ")</f>
        <v xml:space="preserve"> </v>
      </c>
      <c r="AK7" s="16" t="str">
        <f>IF(X9&lt;&gt;0,IF(AI7&lt;AJ7,"3",IF(AI7&gt;AJ7,"0","1")),"")</f>
        <v/>
      </c>
      <c r="AL7" s="18" t="str">
        <f>IF(X9&lt;&gt;0,AB9," ")</f>
        <v xml:space="preserve"> </v>
      </c>
      <c r="AM7" s="12" t="str">
        <f>IF(X10&lt;&gt;0,X10," ")</f>
        <v xml:space="preserve"> </v>
      </c>
      <c r="AN7" s="18" t="str">
        <f>IF(X10&lt;&gt;0,Z10," ")</f>
        <v xml:space="preserve"> </v>
      </c>
      <c r="AO7" s="18" t="str">
        <f>IF(X10&lt;&gt;0,Y10," ")</f>
        <v xml:space="preserve"> </v>
      </c>
      <c r="AP7" s="16" t="str">
        <f>IF(X10&lt;&gt;0,IF(AN7&lt;AO7,"3",IF(AN7&gt;AO7,"0","1")),"")</f>
        <v/>
      </c>
      <c r="AQ7" s="18" t="str">
        <f>IF(X10&lt;&gt;0,AB10," ")</f>
        <v xml:space="preserve"> </v>
      </c>
      <c r="AR7" s="12" t="str">
        <f>IF(X11&lt;&gt;0,X11," ")</f>
        <v xml:space="preserve"> </v>
      </c>
      <c r="AS7" s="18" t="str">
        <f>IF(X11&lt;&gt;0,Z11," ")</f>
        <v xml:space="preserve"> </v>
      </c>
      <c r="AT7" s="18" t="str">
        <f>IF(X11&lt;&gt;0,Y11," ")</f>
        <v xml:space="preserve"> </v>
      </c>
      <c r="AU7" s="16" t="str">
        <f>IF(X11&lt;&gt;0,IF(AS7&lt;AT7,"3",IF(AS7&gt;AT7,"0","1")),"")</f>
        <v/>
      </c>
      <c r="AV7" s="18" t="str">
        <f>IF(X11&lt;&gt;0,AB11," ")</f>
        <v xml:space="preserve"> </v>
      </c>
      <c r="AW7" s="12" t="str">
        <f>IF(X12&lt;&gt;0,X12," ")</f>
        <v xml:space="preserve"> </v>
      </c>
      <c r="AX7" s="18" t="str">
        <f>IF(X12&lt;&gt;0,Z12," ")</f>
        <v xml:space="preserve"> </v>
      </c>
      <c r="AY7" s="19" t="str">
        <f>IF(X12&lt;&gt;0,Y12," ")</f>
        <v xml:space="preserve"> </v>
      </c>
      <c r="AZ7" s="16" t="str">
        <f>IF(X12&lt;&gt;0,IF(AX7&lt;AY7,"3",IF(AX7&gt;AY7,"0","1")),"")</f>
        <v/>
      </c>
      <c r="BA7" s="18" t="str">
        <f>IF(X12&lt;&gt;0,AB12," ")</f>
        <v xml:space="preserve"> </v>
      </c>
      <c r="BB7" s="12" t="str">
        <f>IF(X13&lt;&gt;0,X13," ")</f>
        <v xml:space="preserve"> </v>
      </c>
      <c r="BC7" s="18" t="str">
        <f>IF(X13&lt;&gt;0,Z13," ")</f>
        <v xml:space="preserve"> </v>
      </c>
      <c r="BD7" s="18" t="str">
        <f>IF(X13&lt;&gt;0,Y13," ")</f>
        <v xml:space="preserve"> </v>
      </c>
      <c r="BE7" s="16" t="str">
        <f>IF(X13&lt;&gt;0,IF(BC7&lt;BD7,"3",IF(BC7&gt;BD7,"0","1")),"")</f>
        <v/>
      </c>
      <c r="BF7" s="18" t="str">
        <f>IF(X13&lt;&gt;0,AB13," ")</f>
        <v xml:space="preserve"> </v>
      </c>
      <c r="BG7" s="12" t="str">
        <f>IF(X14&lt;&gt;0,X14," ")</f>
        <v xml:space="preserve"> </v>
      </c>
      <c r="BH7" s="18" t="str">
        <f>IF(X14&lt;&gt;0,Z14," ")</f>
        <v xml:space="preserve"> </v>
      </c>
      <c r="BI7" s="19" t="str">
        <f>IF(X14&lt;&gt;0,Y14," ")</f>
        <v xml:space="preserve"> </v>
      </c>
      <c r="BJ7" s="16" t="str">
        <f>IF(X14&lt;&gt;0,IF(BH7&lt;BI7,"3",IF(BH7&gt;BI7,"0","1")),"")</f>
        <v/>
      </c>
      <c r="BK7" s="18" t="str">
        <f>IF(X14&lt;&gt;0,AB14," ")</f>
        <v xml:space="preserve"> </v>
      </c>
    </row>
    <row r="8" spans="1:63" x14ac:dyDescent="0.25">
      <c r="A8" s="143"/>
      <c r="B8" s="240">
        <v>6</v>
      </c>
      <c r="C8" s="87" t="s">
        <v>222</v>
      </c>
      <c r="D8" s="93"/>
      <c r="E8" s="94"/>
      <c r="F8" s="94"/>
      <c r="G8" s="95" t="str">
        <f t="shared" si="0"/>
        <v/>
      </c>
      <c r="H8" s="95"/>
      <c r="I8" s="220"/>
      <c r="J8" s="221"/>
      <c r="K8" s="221"/>
      <c r="L8" s="222" t="str">
        <f t="shared" si="1"/>
        <v/>
      </c>
      <c r="M8" s="222"/>
      <c r="N8" s="93"/>
      <c r="O8" s="94"/>
      <c r="P8" s="94"/>
      <c r="Q8" s="95" t="str">
        <f t="shared" si="2"/>
        <v/>
      </c>
      <c r="R8" s="95"/>
      <c r="S8" s="93"/>
      <c r="T8" s="94"/>
      <c r="U8" s="94"/>
      <c r="V8" s="95" t="str">
        <f t="shared" ref="V8:V14" si="3">IF(S8&lt;&gt;0,IF(T8&lt;U8,"3",IF(T8&gt;U8,"0","1")),"")</f>
        <v/>
      </c>
      <c r="W8" s="95"/>
      <c r="X8" s="93"/>
      <c r="Y8" s="94"/>
      <c r="Z8" s="94"/>
      <c r="AA8" s="95" t="str">
        <f>IF(X8&lt;&gt;0,IF(Y8&lt;Z8,"3",IF(Y8&gt;Z8,"0","1")),"")</f>
        <v/>
      </c>
      <c r="AB8" s="95"/>
      <c r="AC8" s="243" t="s">
        <v>66</v>
      </c>
      <c r="AD8" s="243"/>
      <c r="AE8" s="243"/>
      <c r="AF8" s="243"/>
      <c r="AG8" s="243"/>
      <c r="AH8" s="12" t="str">
        <f>IF(AC9&lt;&gt;0,AC9," ")</f>
        <v xml:space="preserve"> </v>
      </c>
      <c r="AI8" s="18" t="str">
        <f>IF(AC9&lt;&gt;0,AE9," ")</f>
        <v xml:space="preserve"> </v>
      </c>
      <c r="AJ8" s="19" t="str">
        <f>IF(AC9&lt;&gt;0,AD9," ")</f>
        <v xml:space="preserve"> </v>
      </c>
      <c r="AK8" s="16" t="str">
        <f>IF(AC9&lt;&gt;0,IF(AI8&lt;AJ8,"3",IF(AI8&gt;AJ8,"0","1")),"")</f>
        <v/>
      </c>
      <c r="AL8" s="18" t="str">
        <f>IF(AC9&lt;&gt;0,AG9," ")</f>
        <v xml:space="preserve"> </v>
      </c>
      <c r="AM8" s="12" t="str">
        <f>IF(AC10&lt;&gt;0,AC10," ")</f>
        <v xml:space="preserve"> </v>
      </c>
      <c r="AN8" s="18" t="str">
        <f>IF(AC10&lt;&gt;0,AE10," ")</f>
        <v xml:space="preserve"> </v>
      </c>
      <c r="AO8" s="19" t="str">
        <f>IF(AC10&lt;&gt;0,AD10," ")</f>
        <v xml:space="preserve"> </v>
      </c>
      <c r="AP8" s="16" t="str">
        <f>IF(AC10&lt;&gt;0,IF(AN8&lt;AO8,"3",IF(AN8&gt;AO8,"0","1")),"")</f>
        <v/>
      </c>
      <c r="AQ8" s="18" t="str">
        <f>IF(AC10&lt;&gt;0,AG10," ")</f>
        <v xml:space="preserve"> </v>
      </c>
      <c r="AR8" s="12" t="str">
        <f>IF(AC11&lt;&gt;0,AC11," ")</f>
        <v xml:space="preserve"> </v>
      </c>
      <c r="AS8" s="18" t="str">
        <f>IF(AC11&lt;&gt;0,AE11," ")</f>
        <v xml:space="preserve"> </v>
      </c>
      <c r="AT8" s="18" t="str">
        <f>IF(AC11&lt;&gt;0,AD11," ")</f>
        <v xml:space="preserve"> </v>
      </c>
      <c r="AU8" s="16" t="str">
        <f>IF(AC11&lt;&gt;0,IF(AS8&lt;AT8,"3",IF(AS8&gt;AT8,"0","1")),"")</f>
        <v/>
      </c>
      <c r="AV8" s="19" t="str">
        <f>IF(AC11&lt;&gt;0,AG11," ")</f>
        <v xml:space="preserve"> </v>
      </c>
      <c r="AW8" s="12" t="str">
        <f>IF(AC12&lt;&gt;0,AC12," ")</f>
        <v xml:space="preserve"> </v>
      </c>
      <c r="AX8" s="18" t="str">
        <f>IF(AC12&lt;&gt;0,AE12," ")</f>
        <v xml:space="preserve"> </v>
      </c>
      <c r="AY8" s="19" t="str">
        <f>IF(AC12&lt;&gt;0,AD12," ")</f>
        <v xml:space="preserve"> </v>
      </c>
      <c r="AZ8" s="16" t="str">
        <f>IF(AC12&lt;&gt;0,IF(AX8&lt;AY8,"3",IF(AX8&gt;AY8,"0","1")),"")</f>
        <v/>
      </c>
      <c r="BA8" s="19" t="str">
        <f>IF(AC12&lt;&gt;0,AG12," ")</f>
        <v xml:space="preserve"> </v>
      </c>
      <c r="BB8" s="12" t="str">
        <f>IF(AC13&lt;&gt;0,AC13," ")</f>
        <v xml:space="preserve"> </v>
      </c>
      <c r="BC8" s="18" t="str">
        <f>IF(AC13&lt;&gt;0,AE13," ")</f>
        <v xml:space="preserve"> </v>
      </c>
      <c r="BD8" s="18" t="str">
        <f>IF(AC13&lt;&gt;0,AD13," ")</f>
        <v xml:space="preserve"> </v>
      </c>
      <c r="BE8" s="16" t="str">
        <f>IF(AC13&lt;&gt;0,IF(BC8&lt;BD8,"3",IF(BC8&gt;BD8,"0","1")),"")</f>
        <v/>
      </c>
      <c r="BF8" s="18" t="str">
        <f>IF(AC13&lt;&gt;0,AG13," ")</f>
        <v xml:space="preserve"> </v>
      </c>
      <c r="BG8" s="12" t="str">
        <f>IF(AC14&lt;&gt;0,AC14," ")</f>
        <v xml:space="preserve"> </v>
      </c>
      <c r="BH8" s="18" t="str">
        <f>IF(AC14&lt;&gt;0,AE14," ")</f>
        <v xml:space="preserve"> </v>
      </c>
      <c r="BI8" s="18" t="str">
        <f>IF(AC14&lt;&gt;0,AD14," ")</f>
        <v xml:space="preserve"> </v>
      </c>
      <c r="BJ8" s="16" t="str">
        <f>IF(AC14&lt;&gt;0,IF(BH8&lt;BI8,"3",IF(BH8&gt;BI8,"0","1")),"")</f>
        <v/>
      </c>
      <c r="BK8" s="18" t="str">
        <f>IF(AC14&lt;&gt;0,AG14," ")</f>
        <v xml:space="preserve"> </v>
      </c>
    </row>
    <row r="9" spans="1:63" x14ac:dyDescent="0.25">
      <c r="A9" s="143" t="s">
        <v>300</v>
      </c>
      <c r="B9" s="240">
        <v>7</v>
      </c>
      <c r="C9" s="142" t="s">
        <v>239</v>
      </c>
      <c r="D9" s="93"/>
      <c r="E9" s="94"/>
      <c r="F9" s="94"/>
      <c r="G9" s="95" t="str">
        <f t="shared" si="0"/>
        <v/>
      </c>
      <c r="H9" s="95"/>
      <c r="I9" s="93"/>
      <c r="J9" s="94"/>
      <c r="K9" s="94"/>
      <c r="L9" s="95" t="str">
        <f t="shared" si="1"/>
        <v/>
      </c>
      <c r="M9" s="95"/>
      <c r="N9" s="93"/>
      <c r="O9" s="94"/>
      <c r="P9" s="94"/>
      <c r="Q9" s="95" t="str">
        <f t="shared" si="2"/>
        <v/>
      </c>
      <c r="R9" s="95"/>
      <c r="S9" s="220">
        <v>44766</v>
      </c>
      <c r="T9" s="221">
        <v>2</v>
      </c>
      <c r="U9" s="221">
        <v>3</v>
      </c>
      <c r="V9" s="222" t="str">
        <f t="shared" si="3"/>
        <v>3</v>
      </c>
      <c r="W9" s="222">
        <v>1</v>
      </c>
      <c r="X9" s="93"/>
      <c r="Y9" s="94"/>
      <c r="Z9" s="94"/>
      <c r="AA9" s="95" t="str">
        <f t="shared" ref="AA9:AA14" si="4">IF(X9&lt;&gt;0,IF(Y9&lt;Z9,"3",IF(Y9&gt;Z9,"0","1")),"")</f>
        <v/>
      </c>
      <c r="AB9" s="95"/>
      <c r="AC9" s="93"/>
      <c r="AD9" s="94"/>
      <c r="AE9" s="94"/>
      <c r="AF9" s="95" t="str">
        <f>IF(AC9&lt;&gt;0,IF(AD9&lt;AE9,"3",IF(AD9&gt;AE9,"0","1")),"")</f>
        <v/>
      </c>
      <c r="AG9" s="95"/>
      <c r="AH9" s="243" t="s">
        <v>66</v>
      </c>
      <c r="AI9" s="243"/>
      <c r="AJ9" s="243"/>
      <c r="AK9" s="243"/>
      <c r="AL9" s="243"/>
      <c r="AM9" s="226" t="str">
        <f>IF(AH10&lt;&gt;0,AH10," ")</f>
        <v xml:space="preserve"> </v>
      </c>
      <c r="AN9" s="227" t="str">
        <f>IF(AH10&lt;&gt;0,AJ10," ")</f>
        <v xml:space="preserve"> </v>
      </c>
      <c r="AO9" s="224" t="str">
        <f>IF(AH10&lt;&gt;0,AI10," ")</f>
        <v xml:space="preserve"> </v>
      </c>
      <c r="AP9" s="225" t="str">
        <f>IF(AH10&lt;&gt;0,IF(AN9&lt;AO9,"3",IF(AN9&gt;AO9,"0","1")),"")</f>
        <v/>
      </c>
      <c r="AQ9" s="227" t="str">
        <f>IF(AH10&lt;&gt;0,AL10," ")</f>
        <v xml:space="preserve"> </v>
      </c>
      <c r="AR9" s="12" t="str">
        <f>IF(AH11&lt;&gt;0,AH11," ")</f>
        <v xml:space="preserve"> </v>
      </c>
      <c r="AS9" s="18" t="str">
        <f>IF(AH11&lt;&gt;0,AJ11," ")</f>
        <v xml:space="preserve"> </v>
      </c>
      <c r="AT9" s="19" t="str">
        <f>IF(AH11&lt;&gt;0,AI11," ")</f>
        <v xml:space="preserve"> </v>
      </c>
      <c r="AU9" s="16" t="str">
        <f>IF(AH11&lt;&gt;0,IF(AS9&lt;AT9,"3",IF(AS9&gt;AT9,"0","1")),"")</f>
        <v/>
      </c>
      <c r="AV9" s="18" t="str">
        <f>IF(AH11&lt;&gt;0,AL11," ")</f>
        <v xml:space="preserve"> </v>
      </c>
      <c r="AW9" s="12" t="str">
        <f>IF(AH12&lt;&gt;0,AH12," ")</f>
        <v xml:space="preserve"> </v>
      </c>
      <c r="AX9" s="18" t="str">
        <f>IF(AH12&lt;&gt;0,AJ12," ")</f>
        <v xml:space="preserve"> </v>
      </c>
      <c r="AY9" s="18" t="str">
        <f>IF(AH12&lt;&gt;0,AI12," ")</f>
        <v xml:space="preserve"> </v>
      </c>
      <c r="AZ9" s="16" t="str">
        <f>IF(AH12&lt;&gt;0,IF(AX9&lt;AY9,"3",IF(AX9&gt;AY9,"0","1")),"")</f>
        <v/>
      </c>
      <c r="BA9" s="18" t="str">
        <f>IF(AH12&lt;&gt;0,AL12," ")</f>
        <v xml:space="preserve"> </v>
      </c>
      <c r="BB9" s="12" t="str">
        <f>IF(AH13&lt;&gt;0,AH13," ")</f>
        <v xml:space="preserve"> </v>
      </c>
      <c r="BC9" s="18" t="str">
        <f>IF(AH13&lt;&gt;0,AJ13," ")</f>
        <v xml:space="preserve"> </v>
      </c>
      <c r="BD9" s="19" t="str">
        <f>IF(AH13&lt;&gt;0,AI13," ")</f>
        <v xml:space="preserve"> </v>
      </c>
      <c r="BE9" s="16" t="str">
        <f>IF(AH13&lt;&gt;0,IF(BC9&lt;BD9,"3",IF(BC9&gt;BD9,"0","1")),"")</f>
        <v/>
      </c>
      <c r="BF9" s="18" t="str">
        <f>IF(AH13&lt;&gt;0,AL13," ")</f>
        <v xml:space="preserve"> </v>
      </c>
      <c r="BG9" s="12" t="str">
        <f>IF(AH14&lt;&gt;0,AH14," ")</f>
        <v xml:space="preserve"> </v>
      </c>
      <c r="BH9" s="18" t="str">
        <f>IF(AH14&lt;&gt;0,AJ14," ")</f>
        <v xml:space="preserve"> </v>
      </c>
      <c r="BI9" s="18" t="str">
        <f>IF(AH14&lt;&gt;0,AI14," ")</f>
        <v xml:space="preserve"> </v>
      </c>
      <c r="BJ9" s="16" t="str">
        <f>IF(AH14&lt;&gt;0,IF(BH9&lt;BI9,"3",IF(BH9&gt;BI9,"0","1")),"")</f>
        <v/>
      </c>
      <c r="BK9" s="18" t="str">
        <f>IF(AH14&lt;&gt;0,AL14," ")</f>
        <v xml:space="preserve"> </v>
      </c>
    </row>
    <row r="10" spans="1:63" x14ac:dyDescent="0.25">
      <c r="A10" s="143"/>
      <c r="B10" s="240">
        <v>8</v>
      </c>
      <c r="C10" s="87" t="s">
        <v>243</v>
      </c>
      <c r="D10" s="93"/>
      <c r="E10" s="94"/>
      <c r="F10" s="94"/>
      <c r="G10" s="95" t="str">
        <f t="shared" si="0"/>
        <v/>
      </c>
      <c r="H10" s="95"/>
      <c r="I10" s="93"/>
      <c r="J10" s="94"/>
      <c r="K10" s="94"/>
      <c r="L10" s="95" t="str">
        <f t="shared" si="1"/>
        <v/>
      </c>
      <c r="M10" s="95"/>
      <c r="N10" s="93"/>
      <c r="O10" s="94"/>
      <c r="P10" s="94"/>
      <c r="Q10" s="95" t="str">
        <f t="shared" si="2"/>
        <v/>
      </c>
      <c r="R10" s="95"/>
      <c r="S10" s="93"/>
      <c r="T10" s="94"/>
      <c r="U10" s="94"/>
      <c r="V10" s="95" t="str">
        <f t="shared" si="3"/>
        <v/>
      </c>
      <c r="W10" s="95"/>
      <c r="X10" s="93"/>
      <c r="Y10" s="94"/>
      <c r="Z10" s="94"/>
      <c r="AA10" s="95" t="str">
        <f t="shared" si="4"/>
        <v/>
      </c>
      <c r="AB10" s="95"/>
      <c r="AC10" s="93"/>
      <c r="AD10" s="94"/>
      <c r="AE10" s="94"/>
      <c r="AF10" s="95" t="str">
        <f t="shared" ref="AF10:AF14" si="5">IF(AC10&lt;&gt;0,IF(AD10&lt;AE10,"3",IF(AD10&gt;AE10,"0","1")),"")</f>
        <v/>
      </c>
      <c r="AG10" s="95"/>
      <c r="AH10" s="220"/>
      <c r="AI10" s="221"/>
      <c r="AJ10" s="221"/>
      <c r="AK10" s="222" t="str">
        <f>IF(AH10&lt;&gt;0,IF(AI10&lt;AJ10,"3",IF(AI10&gt;AJ10,"0","1")),"")</f>
        <v/>
      </c>
      <c r="AL10" s="222"/>
      <c r="AM10" s="243" t="s">
        <v>66</v>
      </c>
      <c r="AN10" s="243"/>
      <c r="AO10" s="243"/>
      <c r="AP10" s="243"/>
      <c r="AQ10" s="243"/>
      <c r="AR10" s="12" t="str">
        <f>IF(AM11&lt;&gt;0,AM11," ")</f>
        <v xml:space="preserve"> </v>
      </c>
      <c r="AS10" s="18" t="str">
        <f>IF(AM11&lt;&gt;0,AO11," ")</f>
        <v xml:space="preserve"> </v>
      </c>
      <c r="AT10" s="19" t="str">
        <f>IF(AM11&lt;&gt;0,AN11," ")</f>
        <v xml:space="preserve"> </v>
      </c>
      <c r="AU10" s="16" t="str">
        <f>IF(AM11&lt;&gt;0,IF(AS10&lt;AT10,"3",IF(AS10&gt;AT10,"0","1")),"")</f>
        <v/>
      </c>
      <c r="AV10" s="18" t="str">
        <f>IF(AM11&lt;&gt;0,AQ11," ")</f>
        <v xml:space="preserve"> </v>
      </c>
      <c r="AW10" s="12" t="str">
        <f>IF(AM12&lt;&gt;0,AM12," ")</f>
        <v xml:space="preserve"> </v>
      </c>
      <c r="AX10" s="18" t="str">
        <f>IF(AM12&lt;&gt;0,AO12," ")</f>
        <v xml:space="preserve"> </v>
      </c>
      <c r="AY10" s="18" t="str">
        <f>IF(AM12&lt;&gt;0,AN12," ")</f>
        <v xml:space="preserve"> </v>
      </c>
      <c r="AZ10" s="16" t="str">
        <f>IF(AM12&lt;&gt;0,IF(AX10&lt;AY10,"3",IF(AX10&gt;AY10,"0","1")),"")</f>
        <v/>
      </c>
      <c r="BA10" s="18" t="str">
        <f>IF(AM12&lt;&gt;0,AQ12," ")</f>
        <v xml:space="preserve"> </v>
      </c>
      <c r="BB10" s="12" t="str">
        <f>IF(AM13&lt;&gt;0,AM13," ")</f>
        <v xml:space="preserve"> </v>
      </c>
      <c r="BC10" s="18" t="str">
        <f>IF(AM13&lt;&gt;0,AO13," ")</f>
        <v xml:space="preserve"> </v>
      </c>
      <c r="BD10" s="19" t="str">
        <f>IF(AM13&lt;&gt;0,AN13," ")</f>
        <v xml:space="preserve"> </v>
      </c>
      <c r="BE10" s="16" t="str">
        <f>IF(AM13&lt;&gt;0,IF(BC10&lt;BD10,"3",IF(BC10&gt;BD10,"0","1")),"")</f>
        <v/>
      </c>
      <c r="BF10" s="18" t="str">
        <f>IF(AM13&lt;&gt;0,AQ13," ")</f>
        <v xml:space="preserve"> </v>
      </c>
      <c r="BG10" s="12" t="str">
        <f>IF(AM14&lt;&gt;0,AM14," ")</f>
        <v xml:space="preserve"> </v>
      </c>
      <c r="BH10" s="18" t="str">
        <f>IF(AM14&lt;&gt;0,AO14," ")</f>
        <v xml:space="preserve"> </v>
      </c>
      <c r="BI10" s="19" t="str">
        <f>IF(AM14&lt;&gt;0,AN14," ")</f>
        <v xml:space="preserve"> </v>
      </c>
      <c r="BJ10" s="16" t="str">
        <f>IF(AM14&lt;&gt;0,IF(BH10&lt;BI10,"3",IF(BH10&gt;BI10,"0","1")),"")</f>
        <v/>
      </c>
      <c r="BK10" s="18" t="str">
        <f>IF(AM14&lt;&gt;0,AQ14," ")</f>
        <v xml:space="preserve"> </v>
      </c>
    </row>
    <row r="11" spans="1:63" x14ac:dyDescent="0.25">
      <c r="A11" s="143"/>
      <c r="B11" s="192">
        <v>9</v>
      </c>
      <c r="C11" s="87"/>
      <c r="D11" s="93"/>
      <c r="E11" s="94"/>
      <c r="F11" s="94"/>
      <c r="G11" s="95" t="str">
        <f t="shared" si="0"/>
        <v/>
      </c>
      <c r="H11" s="95"/>
      <c r="I11" s="93"/>
      <c r="J11" s="94"/>
      <c r="K11" s="94"/>
      <c r="L11" s="95" t="str">
        <f t="shared" si="1"/>
        <v/>
      </c>
      <c r="M11" s="95"/>
      <c r="N11" s="93"/>
      <c r="O11" s="94"/>
      <c r="P11" s="94"/>
      <c r="Q11" s="95" t="str">
        <f t="shared" si="2"/>
        <v/>
      </c>
      <c r="R11" s="95"/>
      <c r="S11" s="93"/>
      <c r="T11" s="94"/>
      <c r="U11" s="94"/>
      <c r="V11" s="95" t="str">
        <f t="shared" si="3"/>
        <v/>
      </c>
      <c r="W11" s="95"/>
      <c r="X11" s="93"/>
      <c r="Y11" s="94"/>
      <c r="Z11" s="94"/>
      <c r="AA11" s="95" t="str">
        <f t="shared" si="4"/>
        <v/>
      </c>
      <c r="AB11" s="95"/>
      <c r="AC11" s="93"/>
      <c r="AD11" s="94"/>
      <c r="AE11" s="94"/>
      <c r="AF11" s="95" t="str">
        <f t="shared" si="5"/>
        <v/>
      </c>
      <c r="AG11" s="95"/>
      <c r="AH11" s="93"/>
      <c r="AI11" s="94"/>
      <c r="AJ11" s="94"/>
      <c r="AK11" s="95" t="str">
        <f t="shared" ref="AK11:AK14" si="6">IF(AH11&lt;&gt;0,IF(AI11&lt;AJ11,"3",IF(AI11&gt;AJ11,"0","1")),"")</f>
        <v/>
      </c>
      <c r="AL11" s="95"/>
      <c r="AM11" s="93"/>
      <c r="AN11" s="94"/>
      <c r="AO11" s="94"/>
      <c r="AP11" s="95" t="str">
        <f>IF(AM11&lt;&gt;0,IF(AN11&lt;AO11,"3",IF(AN11&gt;AO11,"0","1")),"")</f>
        <v/>
      </c>
      <c r="AQ11" s="95"/>
      <c r="AR11" s="243" t="s">
        <v>66</v>
      </c>
      <c r="AS11" s="243"/>
      <c r="AT11" s="243"/>
      <c r="AU11" s="243"/>
      <c r="AV11" s="243"/>
      <c r="AW11" s="12" t="str">
        <f>IF(AR12&lt;&gt;0,AR12," ")</f>
        <v xml:space="preserve"> </v>
      </c>
      <c r="AX11" s="18" t="str">
        <f>IF(AR12&lt;&gt;0,AT12," ")</f>
        <v xml:space="preserve"> </v>
      </c>
      <c r="AY11" s="19" t="str">
        <f>IF(AR12&lt;&gt;0,AS12," ")</f>
        <v xml:space="preserve"> </v>
      </c>
      <c r="AZ11" s="16" t="str">
        <f>IF(AR12&lt;&gt;0,IF(AX11&lt;AY11,"3",IF(AX11&gt;AY11,"0","1")),"")</f>
        <v/>
      </c>
      <c r="BA11" s="18" t="str">
        <f>IF(AR12&lt;&gt;0,AV12," ")</f>
        <v xml:space="preserve"> </v>
      </c>
      <c r="BB11" s="12" t="str">
        <f>IF(AR13&lt;&gt;0,AR13," ")</f>
        <v xml:space="preserve"> </v>
      </c>
      <c r="BC11" s="18" t="str">
        <f>IF(AR13&lt;&gt;0,AT13," ")</f>
        <v xml:space="preserve"> </v>
      </c>
      <c r="BD11" s="18" t="str">
        <f>IF(AR13&lt;&gt;0,AS13," ")</f>
        <v xml:space="preserve"> </v>
      </c>
      <c r="BE11" s="16" t="str">
        <f>IF(AR13&lt;&gt;0,IF(BC11&lt;BD11,"3",IF(BC11&gt;BD11,"0","1")),"")</f>
        <v/>
      </c>
      <c r="BF11" s="18" t="str">
        <f>IF(AR13&lt;&gt;0,AV13," ")</f>
        <v xml:space="preserve"> </v>
      </c>
      <c r="BG11" s="12" t="str">
        <f>IF(AR14&lt;&gt;0,AR14," ")</f>
        <v xml:space="preserve"> </v>
      </c>
      <c r="BH11" s="18" t="str">
        <f>IF(AR14&lt;&gt;0,AT14," ")</f>
        <v xml:space="preserve"> </v>
      </c>
      <c r="BI11" s="19" t="str">
        <f>IF(AR14&lt;&gt;0,AS14," ")</f>
        <v xml:space="preserve"> </v>
      </c>
      <c r="BJ11" s="16" t="str">
        <f>IF(AR14&lt;&gt;0,IF(BH11&lt;BI11,"3",IF(BH11&gt;BI11,"0","1")),"")</f>
        <v/>
      </c>
      <c r="BK11" s="18" t="str">
        <f>IF(AR14&lt;&gt;0,AV14," ")</f>
        <v xml:space="preserve"> </v>
      </c>
    </row>
    <row r="12" spans="1:63" x14ac:dyDescent="0.25">
      <c r="A12" s="143"/>
      <c r="B12" s="192">
        <v>10</v>
      </c>
      <c r="C12" s="87"/>
      <c r="D12" s="93"/>
      <c r="E12" s="94"/>
      <c r="F12" s="94"/>
      <c r="G12" s="95" t="str">
        <f t="shared" si="0"/>
        <v/>
      </c>
      <c r="H12" s="95"/>
      <c r="I12" s="93"/>
      <c r="J12" s="94"/>
      <c r="K12" s="94"/>
      <c r="L12" s="95" t="str">
        <f t="shared" si="1"/>
        <v/>
      </c>
      <c r="M12" s="95"/>
      <c r="N12" s="93"/>
      <c r="O12" s="94"/>
      <c r="P12" s="94"/>
      <c r="Q12" s="95" t="str">
        <f t="shared" si="2"/>
        <v/>
      </c>
      <c r="R12" s="95"/>
      <c r="S12" s="93"/>
      <c r="T12" s="94"/>
      <c r="U12" s="94"/>
      <c r="V12" s="95" t="str">
        <f t="shared" si="3"/>
        <v/>
      </c>
      <c r="W12" s="95"/>
      <c r="X12" s="93"/>
      <c r="Y12" s="94"/>
      <c r="Z12" s="94"/>
      <c r="AA12" s="95" t="str">
        <f t="shared" si="4"/>
        <v/>
      </c>
      <c r="AB12" s="95"/>
      <c r="AC12" s="93"/>
      <c r="AD12" s="94"/>
      <c r="AE12" s="94"/>
      <c r="AF12" s="95" t="str">
        <f t="shared" si="5"/>
        <v/>
      </c>
      <c r="AG12" s="95"/>
      <c r="AH12" s="93"/>
      <c r="AI12" s="94"/>
      <c r="AJ12" s="94"/>
      <c r="AK12" s="95" t="str">
        <f t="shared" si="6"/>
        <v/>
      </c>
      <c r="AL12" s="95"/>
      <c r="AM12" s="93"/>
      <c r="AN12" s="94"/>
      <c r="AO12" s="94"/>
      <c r="AP12" s="95" t="str">
        <f t="shared" ref="AP12:AP14" si="7">IF(AM12&lt;&gt;0,IF(AN12&lt;AO12,"3",IF(AN12&gt;AO12,"0","1")),"")</f>
        <v/>
      </c>
      <c r="AQ12" s="95"/>
      <c r="AR12" s="93"/>
      <c r="AS12" s="94"/>
      <c r="AT12" s="94"/>
      <c r="AU12" s="95" t="str">
        <f>IF(AR12&lt;&gt;0,IF(AS12&lt;AT12,"3",IF(AS12&gt;AT12,"0","1")),"")</f>
        <v/>
      </c>
      <c r="AV12" s="95"/>
      <c r="AW12" s="243" t="s">
        <v>66</v>
      </c>
      <c r="AX12" s="243"/>
      <c r="AY12" s="243"/>
      <c r="AZ12" s="243"/>
      <c r="BA12" s="243"/>
      <c r="BB12" s="12" t="str">
        <f>IF(AW13&lt;&gt;0,AW13," ")</f>
        <v xml:space="preserve"> </v>
      </c>
      <c r="BC12" s="18" t="str">
        <f>IF(AW13&lt;&gt;0,AY13," ")</f>
        <v xml:space="preserve"> </v>
      </c>
      <c r="BD12" s="19" t="str">
        <f>IF(AW13&lt;&gt;0,AX13," ")</f>
        <v xml:space="preserve"> </v>
      </c>
      <c r="BE12" s="16" t="str">
        <f>IF(AW13&lt;&gt;0,IF(BC12&lt;BD12,"3",IF(BC12&gt;BD12,"0","1")),"")</f>
        <v/>
      </c>
      <c r="BF12" s="18" t="str">
        <f>IF(AW13&lt;&gt;0,BA13," ")</f>
        <v xml:space="preserve"> </v>
      </c>
      <c r="BG12" s="12" t="str">
        <f>IF(AW14&lt;&gt;0,AW14," ")</f>
        <v xml:space="preserve"> </v>
      </c>
      <c r="BH12" s="18" t="str">
        <f>IF(AW14&lt;&gt;0,AY14," ")</f>
        <v xml:space="preserve"> </v>
      </c>
      <c r="BI12" s="18" t="str">
        <f>IF(AW14&lt;&gt;0,AX14," ")</f>
        <v xml:space="preserve"> </v>
      </c>
      <c r="BJ12" s="16" t="str">
        <f>IF(AW14&lt;&gt;0,IF(BH12&lt;BI12,"3",IF(BH12&gt;BI12,"0","1")),"")</f>
        <v/>
      </c>
      <c r="BK12" s="18" t="str">
        <f>IF(AW14&lt;&gt;0,BA14," ")</f>
        <v xml:space="preserve"> </v>
      </c>
    </row>
    <row r="13" spans="1:63" x14ac:dyDescent="0.25">
      <c r="A13" s="143"/>
      <c r="B13" s="192">
        <v>11</v>
      </c>
      <c r="C13" s="87"/>
      <c r="D13" s="93"/>
      <c r="E13" s="94"/>
      <c r="F13" s="94"/>
      <c r="G13" s="95" t="str">
        <f t="shared" si="0"/>
        <v/>
      </c>
      <c r="H13" s="95"/>
      <c r="I13" s="93"/>
      <c r="J13" s="94"/>
      <c r="K13" s="94"/>
      <c r="L13" s="95" t="str">
        <f t="shared" si="1"/>
        <v/>
      </c>
      <c r="M13" s="95"/>
      <c r="N13" s="93"/>
      <c r="O13" s="94"/>
      <c r="P13" s="94"/>
      <c r="Q13" s="95" t="str">
        <f t="shared" si="2"/>
        <v/>
      </c>
      <c r="R13" s="95"/>
      <c r="S13" s="93"/>
      <c r="T13" s="94"/>
      <c r="U13" s="94"/>
      <c r="V13" s="95" t="str">
        <f t="shared" si="3"/>
        <v/>
      </c>
      <c r="W13" s="95"/>
      <c r="X13" s="93"/>
      <c r="Y13" s="94"/>
      <c r="Z13" s="94"/>
      <c r="AA13" s="95" t="str">
        <f t="shared" si="4"/>
        <v/>
      </c>
      <c r="AB13" s="95"/>
      <c r="AC13" s="93"/>
      <c r="AD13" s="94"/>
      <c r="AE13" s="94"/>
      <c r="AF13" s="95" t="str">
        <f t="shared" si="5"/>
        <v/>
      </c>
      <c r="AG13" s="95"/>
      <c r="AH13" s="93"/>
      <c r="AI13" s="94"/>
      <c r="AJ13" s="94"/>
      <c r="AK13" s="95" t="str">
        <f t="shared" si="6"/>
        <v/>
      </c>
      <c r="AL13" s="95"/>
      <c r="AM13" s="93"/>
      <c r="AN13" s="94"/>
      <c r="AO13" s="94"/>
      <c r="AP13" s="95" t="str">
        <f t="shared" si="7"/>
        <v/>
      </c>
      <c r="AQ13" s="95"/>
      <c r="AR13" s="93"/>
      <c r="AS13" s="94"/>
      <c r="AT13" s="94"/>
      <c r="AU13" s="95" t="str">
        <f t="shared" ref="AU13:AU14" si="8">IF(AR13&lt;&gt;0,IF(AS13&lt;AT13,"3",IF(AS13&gt;AT13,"0","1")),"")</f>
        <v/>
      </c>
      <c r="AV13" s="95"/>
      <c r="AW13" s="93"/>
      <c r="AX13" s="94"/>
      <c r="AY13" s="94"/>
      <c r="AZ13" s="95" t="str">
        <f>IF(AW13&lt;&gt;0,IF(AX13&lt;AY13,"3",IF(AX13&gt;AY13,"0","1")),"")</f>
        <v/>
      </c>
      <c r="BA13" s="95"/>
      <c r="BB13" s="243" t="s">
        <v>66</v>
      </c>
      <c r="BC13" s="243"/>
      <c r="BD13" s="243"/>
      <c r="BE13" s="243"/>
      <c r="BF13" s="243"/>
      <c r="BG13" s="12" t="str">
        <f>IF(BB14&lt;&gt;0,BB14," ")</f>
        <v xml:space="preserve"> </v>
      </c>
      <c r="BH13" s="18" t="str">
        <f>IF(BB14&lt;&gt;0,BD14," ")</f>
        <v xml:space="preserve"> </v>
      </c>
      <c r="BI13" s="19" t="str">
        <f>IF(BB14&lt;&gt;0,BC14," ")</f>
        <v xml:space="preserve"> </v>
      </c>
      <c r="BJ13" s="16" t="str">
        <f>IF(BB14&lt;&gt;0,IF(BH13&lt;BI13,"3",IF(BH13&gt;BI13,"0","1")),"")</f>
        <v/>
      </c>
      <c r="BK13" s="18" t="str">
        <f>IF(BB14&lt;&gt;0,BF14," ")</f>
        <v xml:space="preserve"> </v>
      </c>
    </row>
    <row r="14" spans="1:63" x14ac:dyDescent="0.25">
      <c r="A14" s="143"/>
      <c r="B14" s="192">
        <v>12</v>
      </c>
      <c r="C14" s="87"/>
      <c r="D14" s="93"/>
      <c r="E14" s="94"/>
      <c r="F14" s="94"/>
      <c r="G14" s="95" t="str">
        <f t="shared" si="0"/>
        <v/>
      </c>
      <c r="H14" s="95"/>
      <c r="I14" s="93"/>
      <c r="J14" s="94"/>
      <c r="K14" s="94"/>
      <c r="L14" s="95" t="str">
        <f t="shared" si="1"/>
        <v/>
      </c>
      <c r="M14" s="95"/>
      <c r="N14" s="93"/>
      <c r="O14" s="94"/>
      <c r="P14" s="94"/>
      <c r="Q14" s="95" t="str">
        <f t="shared" si="2"/>
        <v/>
      </c>
      <c r="R14" s="95"/>
      <c r="S14" s="93"/>
      <c r="T14" s="94"/>
      <c r="U14" s="94"/>
      <c r="V14" s="95" t="str">
        <f t="shared" si="3"/>
        <v/>
      </c>
      <c r="W14" s="95"/>
      <c r="X14" s="93"/>
      <c r="Y14" s="94"/>
      <c r="Z14" s="94"/>
      <c r="AA14" s="95" t="str">
        <f t="shared" si="4"/>
        <v/>
      </c>
      <c r="AB14" s="95"/>
      <c r="AC14" s="93"/>
      <c r="AD14" s="94"/>
      <c r="AE14" s="94"/>
      <c r="AF14" s="95" t="str">
        <f t="shared" si="5"/>
        <v/>
      </c>
      <c r="AG14" s="95"/>
      <c r="AH14" s="93"/>
      <c r="AI14" s="94"/>
      <c r="AJ14" s="94"/>
      <c r="AK14" s="95" t="str">
        <f t="shared" si="6"/>
        <v/>
      </c>
      <c r="AL14" s="95"/>
      <c r="AM14" s="93"/>
      <c r="AN14" s="94"/>
      <c r="AO14" s="94"/>
      <c r="AP14" s="95" t="str">
        <f t="shared" si="7"/>
        <v/>
      </c>
      <c r="AQ14" s="95"/>
      <c r="AR14" s="93"/>
      <c r="AS14" s="94"/>
      <c r="AT14" s="94"/>
      <c r="AU14" s="95" t="str">
        <f t="shared" si="8"/>
        <v/>
      </c>
      <c r="AV14" s="95"/>
      <c r="AW14" s="93"/>
      <c r="AX14" s="94"/>
      <c r="AY14" s="94"/>
      <c r="AZ14" s="95" t="str">
        <f t="shared" ref="AZ14" si="9">IF(AW14&lt;&gt;0,IF(AX14&lt;AY14,"3",IF(AX14&gt;AY14,"0","1")),"")</f>
        <v/>
      </c>
      <c r="BA14" s="95"/>
      <c r="BB14" s="93"/>
      <c r="BC14" s="94"/>
      <c r="BD14" s="94"/>
      <c r="BE14" s="95" t="str">
        <f>IF(BB14&lt;&gt;0,IF(BC14&lt;BD14,"3",IF(BC14&gt;BD14,"0","1")),"")</f>
        <v/>
      </c>
      <c r="BF14" s="95"/>
      <c r="BG14" s="243" t="s">
        <v>66</v>
      </c>
      <c r="BH14" s="243"/>
      <c r="BI14" s="243"/>
      <c r="BJ14" s="243"/>
      <c r="BK14" s="243"/>
    </row>
    <row r="16" spans="1:63" ht="15.75" thickBot="1" x14ac:dyDescent="0.3"/>
    <row r="17" spans="9:18" x14ac:dyDescent="0.25">
      <c r="I17" s="246" t="s">
        <v>230</v>
      </c>
      <c r="J17" s="247"/>
      <c r="K17" s="247"/>
      <c r="L17" s="247"/>
      <c r="M17" s="247"/>
      <c r="N17" s="247"/>
      <c r="O17" s="247"/>
      <c r="P17" s="247"/>
      <c r="Q17" s="247"/>
      <c r="R17" s="248"/>
    </row>
    <row r="18" spans="9:18" x14ac:dyDescent="0.25">
      <c r="I18" s="249"/>
      <c r="J18" s="250"/>
      <c r="K18" s="250"/>
      <c r="L18" s="250"/>
      <c r="M18" s="250"/>
      <c r="N18" s="250"/>
      <c r="O18" s="250"/>
      <c r="P18" s="250"/>
      <c r="Q18" s="250"/>
      <c r="R18" s="251"/>
    </row>
    <row r="19" spans="9:18" ht="15.75" thickBot="1" x14ac:dyDescent="0.3">
      <c r="I19" s="252"/>
      <c r="J19" s="253"/>
      <c r="K19" s="253"/>
      <c r="L19" s="253"/>
      <c r="M19" s="253"/>
      <c r="N19" s="253"/>
      <c r="O19" s="253"/>
      <c r="P19" s="253"/>
      <c r="Q19" s="253"/>
      <c r="R19" s="254"/>
    </row>
  </sheetData>
  <sheetProtection algorithmName="SHA-512" hashValue="fOx82x6lbMcUFkJYU232ch8ARWLpeuMnf3RjYYys7VIZq3DadNGIJ+4Tifn0BZvaPn8+vYI0TzE9igD+rdxv9Q==" saltValue="ANNBll3E2dzXVueYelBZVw==" spinCount="100000" sheet="1" formatCells="0"/>
  <protectedRanges>
    <protectedRange sqref="L5:M14 Q6:R14 V7:W14 AA8:AB14 AF9:AG14 AK10:AL14 AP11:AQ14 AU12:AV14 AZ13:BA14 AU3:AU10 AZ3:AZ11 BE3:BE12 BJ3:BJ13 AF3:AF7 AK3:AK8 AP3:AP9 BE14:BF14 G4:H14 L3 Q3:Q4 V3:V5 AA3:AA6" name="Rango1"/>
    <protectedRange sqref="D4:F14" name="Rango1_7"/>
    <protectedRange sqref="I5:K14" name="Rango1_8"/>
    <protectedRange sqref="N7:P14" name="Rango1_9"/>
    <protectedRange sqref="N6:P6" name="Rango1_2_1"/>
    <protectedRange sqref="S7:U14" name="Rango1_10"/>
    <protectedRange sqref="X8:Z14" name="Rango1_11"/>
    <protectedRange sqref="AC9:AE14" name="Rango1_12"/>
    <protectedRange sqref="AH10:AJ14" name="Rango1_13"/>
    <protectedRange sqref="AM11:AO14" name="Rango1_14"/>
    <protectedRange sqref="AR12:AT14" name="Rango1_15"/>
    <protectedRange sqref="AW13:AY14" name="Rango1_16"/>
    <protectedRange sqref="BB14:BD14" name="Rango1_17"/>
    <protectedRange sqref="C3:C14" name="Rango1_22"/>
  </protectedRanges>
  <mergeCells count="40">
    <mergeCell ref="A1:A2"/>
    <mergeCell ref="AI2:AJ2"/>
    <mergeCell ref="AD2:AE2"/>
    <mergeCell ref="Y2:Z2"/>
    <mergeCell ref="T2:U2"/>
    <mergeCell ref="C1:C2"/>
    <mergeCell ref="B1:B2"/>
    <mergeCell ref="D1:H1"/>
    <mergeCell ref="E2:F2"/>
    <mergeCell ref="J2:K2"/>
    <mergeCell ref="O2:P2"/>
    <mergeCell ref="D3:H3"/>
    <mergeCell ref="N5:R5"/>
    <mergeCell ref="BB13:BF13"/>
    <mergeCell ref="AW12:BA12"/>
    <mergeCell ref="AR11:AV11"/>
    <mergeCell ref="AM10:AQ10"/>
    <mergeCell ref="AH9:AL9"/>
    <mergeCell ref="AS2:AT2"/>
    <mergeCell ref="I17:R19"/>
    <mergeCell ref="BG14:BK14"/>
    <mergeCell ref="AC8:AG8"/>
    <mergeCell ref="X7:AB7"/>
    <mergeCell ref="S6:W6"/>
    <mergeCell ref="BG1:BK1"/>
    <mergeCell ref="I1:M1"/>
    <mergeCell ref="I4:M4"/>
    <mergeCell ref="AM1:AQ1"/>
    <mergeCell ref="N1:R1"/>
    <mergeCell ref="AC1:AG1"/>
    <mergeCell ref="AH1:AL1"/>
    <mergeCell ref="BH2:BI2"/>
    <mergeCell ref="AN2:AO2"/>
    <mergeCell ref="AW1:BA1"/>
    <mergeCell ref="BB1:BF1"/>
    <mergeCell ref="S1:W1"/>
    <mergeCell ref="X1:AB1"/>
    <mergeCell ref="AR1:AV1"/>
    <mergeCell ref="BC2:BD2"/>
    <mergeCell ref="AX2:AY2"/>
  </mergeCells>
  <conditionalFormatting sqref="BG13:BI13 BB12:BD12 AW11:AY11 AR10:AT10 AM9:AO9 AH8:AJ8 AC7:AE7 X6:Z6 S5:U5 N4:P4 D4:H4 D5:G14 H5:M5 H6:L14 M6:R6 M7:Q14 R7:W7 R8:V14 W8:AB8 W9:AA14 AB9:AG9 AB10:AF14 AG10:AL10 AG11:AK14 AL11:AQ11 AL12:AP14 AQ12:AV12 AQ13:AU14 AV13:BA13 AV14:BF14 I3:P3 R3:U4 W3:Z5 AB3:AE6 AG3:AJ7 AL3:AO8 AQ3:AT9 AV3:AY10 BA3:BD11 BF3:BI12 BK3:BK13">
    <cfRule type="notContainsBlanks" dxfId="133" priority="19">
      <formula>LEN(TRIM(D3))&gt;0</formula>
    </cfRule>
  </conditionalFormatting>
  <conditionalFormatting sqref="I3:P3 R3:T3">
    <cfRule type="notContainsBlanks" dxfId="132" priority="20">
      <formula>LEN(TRIM(I3))&gt;0</formula>
    </cfRule>
  </conditionalFormatting>
  <conditionalFormatting sqref="U3">
    <cfRule type="notContainsBlanks" dxfId="131" priority="18">
      <formula>LEN(TRIM(U3))&gt;0</formula>
    </cfRule>
  </conditionalFormatting>
  <conditionalFormatting sqref="Z3">
    <cfRule type="notContainsBlanks" dxfId="130" priority="17">
      <formula>LEN(TRIM(Z3))&gt;0</formula>
    </cfRule>
  </conditionalFormatting>
  <conditionalFormatting sqref="AE3">
    <cfRule type="notContainsBlanks" dxfId="129" priority="16">
      <formula>LEN(TRIM(AE3))&gt;0</formula>
    </cfRule>
  </conditionalFormatting>
  <conditionalFormatting sqref="Q3:Q4">
    <cfRule type="notContainsBlanks" dxfId="128" priority="15">
      <formula>LEN(TRIM(Q3))&gt;0</formula>
    </cfRule>
  </conditionalFormatting>
  <conditionalFormatting sqref="V3:V5">
    <cfRule type="notContainsBlanks" dxfId="127" priority="14">
      <formula>LEN(TRIM(V3))&gt;0</formula>
    </cfRule>
  </conditionalFormatting>
  <conditionalFormatting sqref="AA3:AA6">
    <cfRule type="notContainsBlanks" dxfId="126" priority="13">
      <formula>LEN(TRIM(AA3))&gt;0</formula>
    </cfRule>
  </conditionalFormatting>
  <conditionalFormatting sqref="AF3:AF7">
    <cfRule type="notContainsBlanks" dxfId="125" priority="12">
      <formula>LEN(TRIM(AF3))&gt;0</formula>
    </cfRule>
  </conditionalFormatting>
  <conditionalFormatting sqref="AK3:AK8">
    <cfRule type="notContainsBlanks" dxfId="124" priority="11">
      <formula>LEN(TRIM(AK3))&gt;0</formula>
    </cfRule>
  </conditionalFormatting>
  <conditionalFormatting sqref="AP3:AP9">
    <cfRule type="notContainsBlanks" dxfId="123" priority="10">
      <formula>LEN(TRIM(AP3))&gt;0</formula>
    </cfRule>
  </conditionalFormatting>
  <conditionalFormatting sqref="AU3:AU10">
    <cfRule type="notContainsBlanks" dxfId="122" priority="9">
      <formula>LEN(TRIM(AU3))&gt;0</formula>
    </cfRule>
  </conditionalFormatting>
  <conditionalFormatting sqref="AZ3:AZ11">
    <cfRule type="notContainsBlanks" dxfId="121" priority="8">
      <formula>LEN(TRIM(AZ3))&gt;0</formula>
    </cfRule>
  </conditionalFormatting>
  <conditionalFormatting sqref="BE3:BE12">
    <cfRule type="notContainsBlanks" dxfId="120" priority="7">
      <formula>LEN(TRIM(BE3))&gt;0</formula>
    </cfRule>
  </conditionalFormatting>
  <conditionalFormatting sqref="BJ3:BJ13">
    <cfRule type="notContainsBlanks" dxfId="119" priority="6">
      <formula>LEN(TRIM(BJ3))&gt;0</formula>
    </cfRule>
  </conditionalFormatting>
  <conditionalFormatting sqref="D3:BK14">
    <cfRule type="containsText" dxfId="118" priority="1" operator="containsText" text="W">
      <formula>NOT(ISERROR(SEARCH("W",D3)))</formula>
    </cfRule>
  </conditionalFormatting>
  <pageMargins left="0.45" right="0.2" top="0.75" bottom="0.75" header="0.3" footer="0.3"/>
  <pageSetup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G3:Q19"/>
  <sheetViews>
    <sheetView showGridLines="0" workbookViewId="0"/>
  </sheetViews>
  <sheetFormatPr baseColWidth="10" defaultRowHeight="15" x14ac:dyDescent="0.25"/>
  <cols>
    <col min="1" max="6" width="11.42578125" style="96"/>
    <col min="7" max="7" width="5.28515625" style="96" bestFit="1" customWidth="1"/>
    <col min="8" max="8" width="45.7109375" style="96" customWidth="1"/>
    <col min="9" max="9" width="6.140625" style="96" customWidth="1"/>
    <col min="10" max="10" width="7" style="96" customWidth="1"/>
    <col min="11" max="11" width="6.5703125" style="96" customWidth="1"/>
    <col min="12" max="12" width="6.7109375" style="96" customWidth="1"/>
    <col min="13" max="13" width="6.85546875" style="96" customWidth="1"/>
    <col min="14" max="14" width="7" style="96" customWidth="1"/>
    <col min="15" max="15" width="7.28515625" style="141" customWidth="1"/>
    <col min="16" max="16" width="11.140625" style="98" bestFit="1" customWidth="1"/>
    <col min="17" max="17" width="9" style="96" customWidth="1"/>
    <col min="18" max="18" width="11.42578125" style="96"/>
    <col min="19" max="19" width="4.140625" style="96" bestFit="1" customWidth="1"/>
    <col min="20" max="20" width="45.7109375" style="96" customWidth="1"/>
    <col min="21" max="16384" width="11.42578125" style="96"/>
  </cols>
  <sheetData>
    <row r="3" spans="7:17" ht="15.75" thickBot="1" x14ac:dyDescent="0.3"/>
    <row r="4" spans="7:17" ht="18.75" customHeight="1" x14ac:dyDescent="0.25">
      <c r="H4" s="258" t="s">
        <v>18</v>
      </c>
      <c r="I4" s="259"/>
      <c r="J4" s="259"/>
      <c r="K4" s="259"/>
      <c r="L4" s="259"/>
      <c r="M4" s="259"/>
      <c r="N4" s="259"/>
      <c r="O4" s="259"/>
      <c r="P4" s="259"/>
      <c r="Q4" s="260"/>
    </row>
    <row r="5" spans="7:17" ht="15.75" thickBot="1" x14ac:dyDescent="0.3">
      <c r="H5" s="261"/>
      <c r="I5" s="262"/>
      <c r="J5" s="262"/>
      <c r="K5" s="262"/>
      <c r="L5" s="262"/>
      <c r="M5" s="262"/>
      <c r="N5" s="262"/>
      <c r="O5" s="262"/>
      <c r="P5" s="262"/>
      <c r="Q5" s="263"/>
    </row>
    <row r="6" spans="7:17" ht="23.25" thickBot="1" x14ac:dyDescent="0.35">
      <c r="H6" s="184" t="s">
        <v>16</v>
      </c>
      <c r="I6" s="185" t="s">
        <v>19</v>
      </c>
      <c r="J6" s="185" t="s">
        <v>20</v>
      </c>
      <c r="K6" s="185" t="s">
        <v>21</v>
      </c>
      <c r="L6" s="185" t="s">
        <v>22</v>
      </c>
      <c r="M6" s="185" t="s">
        <v>23</v>
      </c>
      <c r="N6" s="185" t="s">
        <v>24</v>
      </c>
      <c r="O6" s="185" t="s">
        <v>25</v>
      </c>
      <c r="P6" s="186" t="s">
        <v>38</v>
      </c>
      <c r="Q6" s="185" t="s">
        <v>26</v>
      </c>
    </row>
    <row r="7" spans="7:17" ht="23.25" thickBot="1" x14ac:dyDescent="0.35">
      <c r="G7" s="184">
        <v>1</v>
      </c>
      <c r="H7" s="100" t="str">
        <f>IF(A!C6&lt;&gt;0,A!C6," ")</f>
        <v>DISTRIBUIDORA LA ESQUINA</v>
      </c>
      <c r="I7" s="101">
        <f>COUNTA(A!D6,A!I6,A!N6,A!S7:S14)</f>
        <v>2</v>
      </c>
      <c r="J7" s="101">
        <f>COUNTIF(A!$V$3:$V$14,3)</f>
        <v>2</v>
      </c>
      <c r="K7" s="101">
        <f>COUNTIF(A!$V$3:$V$14,1)</f>
        <v>0</v>
      </c>
      <c r="L7" s="101">
        <f>COUNTIF(A!$V$3:$V$14,0)</f>
        <v>0</v>
      </c>
      <c r="M7" s="102">
        <f>SUM(A!$U$3:$U$14)</f>
        <v>9</v>
      </c>
      <c r="N7" s="102">
        <f>SUM(A!$T$3:$T$14)</f>
        <v>2</v>
      </c>
      <c r="O7" s="103">
        <f t="shared" ref="O7:O18" si="0">M7-N7</f>
        <v>7</v>
      </c>
      <c r="P7" s="104">
        <f t="shared" ref="P7:P18" si="1">IF(N7&lt;&gt;0,N7/I7,"0")</f>
        <v>1</v>
      </c>
      <c r="Q7" s="103">
        <f t="shared" ref="Q7:Q18" si="2">(J7*3)+K7</f>
        <v>6</v>
      </c>
    </row>
    <row r="8" spans="7:17" ht="23.25" thickBot="1" x14ac:dyDescent="0.35">
      <c r="G8" s="187">
        <v>2</v>
      </c>
      <c r="H8" s="100" t="str">
        <f>IF(A!C5&lt;&gt;0,A!C5," ")</f>
        <v>ESTAMPADOS SANTI</v>
      </c>
      <c r="I8" s="102">
        <f>COUNTA(A!D5,A!I5,A!N6:N14)</f>
        <v>2</v>
      </c>
      <c r="J8" s="101">
        <f>COUNTIF(A!$Q$3:$Q$14,3)</f>
        <v>1</v>
      </c>
      <c r="K8" s="101">
        <f>COUNTIF(A!$Q$3:$Q$14,1)</f>
        <v>1</v>
      </c>
      <c r="L8" s="101">
        <f>COUNTIF(A!$Q$3:$Q$14,0)</f>
        <v>0</v>
      </c>
      <c r="M8" s="102">
        <f>SUM(A!$P$3:$P$14)</f>
        <v>9</v>
      </c>
      <c r="N8" s="102">
        <f>SUM(A!$O$3:$O$14)</f>
        <v>5</v>
      </c>
      <c r="O8" s="103">
        <f t="shared" si="0"/>
        <v>4</v>
      </c>
      <c r="P8" s="104">
        <f t="shared" si="1"/>
        <v>2.5</v>
      </c>
      <c r="Q8" s="103">
        <f t="shared" si="2"/>
        <v>4</v>
      </c>
    </row>
    <row r="9" spans="7:17" ht="23.25" thickBot="1" x14ac:dyDescent="0.35">
      <c r="G9" s="184">
        <v>3</v>
      </c>
      <c r="H9" s="100" t="str">
        <f>IF(A!C3&lt;&gt;0,A!C3," ")</f>
        <v>RESTAURANTE GRAN CHINA</v>
      </c>
      <c r="I9" s="101">
        <f>COUNTA(A!D4:D14)</f>
        <v>2</v>
      </c>
      <c r="J9" s="101">
        <f>COUNTIF(A!$G$3:$G$14,3)</f>
        <v>0</v>
      </c>
      <c r="K9" s="101">
        <f>COUNTIF(A!$G$3:$G$14,1)</f>
        <v>2</v>
      </c>
      <c r="L9" s="101">
        <f>COUNTIF(A!$G$3:$G$14,0)</f>
        <v>0</v>
      </c>
      <c r="M9" s="102">
        <f>SUM(A!$F$3:$F$14)</f>
        <v>4</v>
      </c>
      <c r="N9" s="102">
        <f>SUM(A!$E$3:$E$14)</f>
        <v>4</v>
      </c>
      <c r="O9" s="103">
        <f t="shared" si="0"/>
        <v>0</v>
      </c>
      <c r="P9" s="104">
        <f t="shared" si="1"/>
        <v>2</v>
      </c>
      <c r="Q9" s="103">
        <f t="shared" si="2"/>
        <v>2</v>
      </c>
    </row>
    <row r="10" spans="7:17" ht="23.25" thickBot="1" x14ac:dyDescent="0.35">
      <c r="G10" s="187">
        <v>4</v>
      </c>
      <c r="H10" s="100" t="str">
        <f>IF(A!C7&lt;&gt;0,A!C7," ")</f>
        <v>RADAR TOPOGRAFIA</v>
      </c>
      <c r="I10" s="102">
        <f>COUNTA(A!D7,A!I7,A!N7,A!S7,A!X8:X14)</f>
        <v>1</v>
      </c>
      <c r="J10" s="101">
        <f>COUNTIF(A!$AA$3:$AA$14,3)</f>
        <v>0</v>
      </c>
      <c r="K10" s="101">
        <f>COUNTIF(A!$AA$3:$AA$14,1)</f>
        <v>1</v>
      </c>
      <c r="L10" s="101">
        <f>COUNTIF(A!$AA$3:$AA$14,0)</f>
        <v>0</v>
      </c>
      <c r="M10" s="102">
        <f>SUM(A!$Z$3:$Z$14)</f>
        <v>0</v>
      </c>
      <c r="N10" s="102">
        <f>SUM(A!$Y$3:$Y$14)</f>
        <v>0</v>
      </c>
      <c r="O10" s="103">
        <f t="shared" si="0"/>
        <v>0</v>
      </c>
      <c r="P10" s="104" t="str">
        <f t="shared" si="1"/>
        <v>0</v>
      </c>
      <c r="Q10" s="103">
        <f t="shared" si="2"/>
        <v>1</v>
      </c>
    </row>
    <row r="11" spans="7:17" ht="23.25" thickBot="1" x14ac:dyDescent="0.35">
      <c r="G11" s="184">
        <v>5</v>
      </c>
      <c r="H11" s="100" t="str">
        <f>IF(A!C8&lt;&gt;0,A!C8," ")</f>
        <v>VILLA CITY</v>
      </c>
      <c r="I11" s="102">
        <f>COUNTA(A!D8,A!I8,A!N8,A!S8,A!X8,A!AC9:AC14)</f>
        <v>0</v>
      </c>
      <c r="J11" s="101">
        <f>COUNTIF(A!$AF$3:$AF$14,3)</f>
        <v>0</v>
      </c>
      <c r="K11" s="101">
        <f>COUNTIF(A!$AF$3:$AF$14,1)</f>
        <v>0</v>
      </c>
      <c r="L11" s="101">
        <f>COUNTIF(A!$AF$3:$AF$14,0)</f>
        <v>0</v>
      </c>
      <c r="M11" s="102">
        <f>SUM(A!$AE$3:$AE$14)</f>
        <v>0</v>
      </c>
      <c r="N11" s="102">
        <f>SUM(A!$AD$3:$AD$14)</f>
        <v>0</v>
      </c>
      <c r="O11" s="103">
        <f t="shared" si="0"/>
        <v>0</v>
      </c>
      <c r="P11" s="104" t="str">
        <f t="shared" si="1"/>
        <v>0</v>
      </c>
      <c r="Q11" s="103">
        <f t="shared" si="2"/>
        <v>0</v>
      </c>
    </row>
    <row r="12" spans="7:17" ht="23.25" thickBot="1" x14ac:dyDescent="0.35">
      <c r="G12" s="187">
        <v>6</v>
      </c>
      <c r="H12" s="100" t="str">
        <f>IF(A!C10&lt;&gt;0,A!C10," ")</f>
        <v>WESTHAM</v>
      </c>
      <c r="I12" s="102">
        <f>COUNTA(A!D10,A!I10,A!N10,A!S10,A!X10,A!AC10,A!AH10,A!AM11:AM14)</f>
        <v>0</v>
      </c>
      <c r="J12" s="101">
        <f>COUNTIF(A!$AP$3:$AP$14,3)</f>
        <v>0</v>
      </c>
      <c r="K12" s="101">
        <f>COUNTIF(A!$AP$3:$AP$14,1)</f>
        <v>0</v>
      </c>
      <c r="L12" s="101">
        <f>COUNTIF(A!$AP$3:$AP$14,0)</f>
        <v>0</v>
      </c>
      <c r="M12" s="102">
        <f>SUM(A!$AO$3:$AO$14)</f>
        <v>0</v>
      </c>
      <c r="N12" s="102">
        <f>SUM(A!$AN$3:$AN$14)</f>
        <v>0</v>
      </c>
      <c r="O12" s="103">
        <f t="shared" si="0"/>
        <v>0</v>
      </c>
      <c r="P12" s="104" t="str">
        <f t="shared" si="1"/>
        <v>0</v>
      </c>
      <c r="Q12" s="103">
        <f t="shared" si="2"/>
        <v>0</v>
      </c>
    </row>
    <row r="13" spans="7:17" ht="23.25" thickBot="1" x14ac:dyDescent="0.35">
      <c r="G13" s="184">
        <v>7</v>
      </c>
      <c r="H13" s="100" t="str">
        <f>IF(A!C11&lt;&gt;0,A!C11," ")</f>
        <v xml:space="preserve"> </v>
      </c>
      <c r="I13" s="102">
        <f>COUNTA(A!D11,A!I11,A!N11,A!S11,A!X11,A!AC11,A!AH11,A!AM11,A!AR12:AR14)</f>
        <v>0</v>
      </c>
      <c r="J13" s="101">
        <f>COUNTIF(A!$AU$3:$AU$14,3)</f>
        <v>0</v>
      </c>
      <c r="K13" s="101">
        <f>COUNTIF(A!$AU$3:$AU$14,1)</f>
        <v>0</v>
      </c>
      <c r="L13" s="101">
        <f>COUNTIF(A!$AU$3:$AU$14,0)</f>
        <v>0</v>
      </c>
      <c r="M13" s="102">
        <f>SUM(A!$AT$3:$AT$14)</f>
        <v>0</v>
      </c>
      <c r="N13" s="102">
        <f>SUM(A!$AS$3:$AS$14)</f>
        <v>0</v>
      </c>
      <c r="O13" s="103">
        <f t="shared" si="0"/>
        <v>0</v>
      </c>
      <c r="P13" s="104" t="str">
        <f t="shared" si="1"/>
        <v>0</v>
      </c>
      <c r="Q13" s="103">
        <f t="shared" si="2"/>
        <v>0</v>
      </c>
    </row>
    <row r="14" spans="7:17" ht="23.25" thickBot="1" x14ac:dyDescent="0.35">
      <c r="G14" s="187">
        <v>8</v>
      </c>
      <c r="H14" s="100" t="str">
        <f>IF(A!C12&lt;&gt;0,A!C12," ")</f>
        <v xml:space="preserve"> </v>
      </c>
      <c r="I14" s="101">
        <f>COUNTA(A!D12,A!I12,A!N12,A!S12,A!X12,A!AC12,A!AH12,A!AM12,A!AR12,A!AW13:AW14)</f>
        <v>0</v>
      </c>
      <c r="J14" s="101">
        <f>COUNTIF(A!$AZ$3:$AZ$14,3)</f>
        <v>0</v>
      </c>
      <c r="K14" s="101">
        <f>COUNTIF(A!$AZ$3:$AZ$14,1)</f>
        <v>0</v>
      </c>
      <c r="L14" s="101">
        <f>COUNTIF(A!$AZ$3:$AZ$14,0)</f>
        <v>0</v>
      </c>
      <c r="M14" s="102">
        <f>SUM(A!$AY$3:$AY$14)</f>
        <v>0</v>
      </c>
      <c r="N14" s="102">
        <f>SUM(A!$AX$3:$AX$14)</f>
        <v>0</v>
      </c>
      <c r="O14" s="103">
        <f t="shared" si="0"/>
        <v>0</v>
      </c>
      <c r="P14" s="104" t="str">
        <f t="shared" si="1"/>
        <v>0</v>
      </c>
      <c r="Q14" s="103">
        <f t="shared" si="2"/>
        <v>0</v>
      </c>
    </row>
    <row r="15" spans="7:17" ht="23.25" thickBot="1" x14ac:dyDescent="0.35">
      <c r="G15" s="184">
        <v>9</v>
      </c>
      <c r="H15" s="100" t="str">
        <f>IF(A!C13&lt;&gt;0,A!C13," ")</f>
        <v xml:space="preserve"> </v>
      </c>
      <c r="I15" s="102">
        <f>COUNTA(A!D13,A!I13,A!N13,A!S13,A!X13,A!AC13,A!AH13,A!AM13,A!AR13,A!AW13,A!BB14)</f>
        <v>0</v>
      </c>
      <c r="J15" s="101">
        <f>COUNTIF(A!$BE$3:$BE$14,3)</f>
        <v>0</v>
      </c>
      <c r="K15" s="101">
        <f>COUNTIF(A!$BE$3:$BE$14,1)</f>
        <v>0</v>
      </c>
      <c r="L15" s="101">
        <f>COUNTIF(A!$BE$3:$BE$14,0)</f>
        <v>0</v>
      </c>
      <c r="M15" s="102">
        <f>SUM(A!$BD$3:$BD$14)</f>
        <v>0</v>
      </c>
      <c r="N15" s="102">
        <f>SUM(A!$BC$3:$BC$14)</f>
        <v>0</v>
      </c>
      <c r="O15" s="103">
        <f t="shared" si="0"/>
        <v>0</v>
      </c>
      <c r="P15" s="104" t="str">
        <f t="shared" si="1"/>
        <v>0</v>
      </c>
      <c r="Q15" s="103">
        <f t="shared" si="2"/>
        <v>0</v>
      </c>
    </row>
    <row r="16" spans="7:17" ht="23.25" thickBot="1" x14ac:dyDescent="0.35">
      <c r="G16" s="187">
        <v>10</v>
      </c>
      <c r="H16" s="100" t="str">
        <f>IF(A!C14&lt;&gt;0,A!C14," ")</f>
        <v xml:space="preserve"> </v>
      </c>
      <c r="I16" s="102">
        <f>COUNTA(A!D14,A!I14,A!N14,A!S14,A!X14,A!AC14,A!AH14,A!AM14,A!AR14,A!AW14,A!BB14)</f>
        <v>0</v>
      </c>
      <c r="J16" s="101">
        <f>COUNTIF(A!$BJ$3:$BJ$14,3)</f>
        <v>0</v>
      </c>
      <c r="K16" s="101">
        <f>COUNTIF(A!$BJ$3:$BJ$14,1)</f>
        <v>0</v>
      </c>
      <c r="L16" s="101">
        <f>COUNTIF(A!$BJ$3:$BJ$14,0)</f>
        <v>0</v>
      </c>
      <c r="M16" s="102">
        <f>SUM(A!$BI$3:$BI$14)</f>
        <v>0</v>
      </c>
      <c r="N16" s="102">
        <f>SUM(A!$BH$3:$BH$14)</f>
        <v>0</v>
      </c>
      <c r="O16" s="103">
        <f t="shared" si="0"/>
        <v>0</v>
      </c>
      <c r="P16" s="104" t="str">
        <f t="shared" si="1"/>
        <v>0</v>
      </c>
      <c r="Q16" s="103">
        <f t="shared" si="2"/>
        <v>0</v>
      </c>
    </row>
    <row r="17" spans="7:17" ht="23.25" thickBot="1" x14ac:dyDescent="0.35">
      <c r="G17" s="187">
        <v>11</v>
      </c>
      <c r="H17" s="100" t="str">
        <f>IF(A!C9&lt;&gt;0,A!C9," ")</f>
        <v>LOS BACKYARDIGANS</v>
      </c>
      <c r="I17" s="101">
        <f>COUNTA(A!D9,A!I9,A!N9,A!S9,A!X9,A!AC9,A!AH10:AH14)</f>
        <v>1</v>
      </c>
      <c r="J17" s="101">
        <f>COUNTIF(A!$AK$3:$AK$14,3)</f>
        <v>0</v>
      </c>
      <c r="K17" s="101">
        <f>COUNTIF(A!$AK$3:$AK$14,1)</f>
        <v>0</v>
      </c>
      <c r="L17" s="101">
        <f>COUNTIF(A!$AK$3:$AK$14,0)</f>
        <v>1</v>
      </c>
      <c r="M17" s="102">
        <f>SUM(A!$AJ$3:$AJ$14)</f>
        <v>2</v>
      </c>
      <c r="N17" s="102">
        <f>SUM(A!$AI$3:$AI$14)</f>
        <v>3</v>
      </c>
      <c r="O17" s="103">
        <f t="shared" si="0"/>
        <v>-1</v>
      </c>
      <c r="P17" s="104">
        <f t="shared" si="1"/>
        <v>3</v>
      </c>
      <c r="Q17" s="103">
        <f t="shared" si="2"/>
        <v>0</v>
      </c>
    </row>
    <row r="18" spans="7:17" ht="23.25" thickBot="1" x14ac:dyDescent="0.35">
      <c r="G18" s="187">
        <v>12</v>
      </c>
      <c r="H18" s="100" t="str">
        <f>IF(A!C4&lt;&gt;0,A!C4," ")</f>
        <v>ATLETICO RACING</v>
      </c>
      <c r="I18" s="102">
        <f>COUNTA(A!D4,A!I5:I14)</f>
        <v>2</v>
      </c>
      <c r="J18" s="101">
        <f>COUNTIF(A!$L$3:$L$14,3)</f>
        <v>0</v>
      </c>
      <c r="K18" s="101">
        <f>COUNTIF(A!$L$3:$L$14,1)</f>
        <v>0</v>
      </c>
      <c r="L18" s="101">
        <f>COUNTIF(A!$L$3:$L$14,0)</f>
        <v>2</v>
      </c>
      <c r="M18" s="102">
        <f>SUM(A!$K$3:$K$14)</f>
        <v>1</v>
      </c>
      <c r="N18" s="102">
        <f>SUM(A!$J$3:$J$14)</f>
        <v>11</v>
      </c>
      <c r="O18" s="103">
        <f t="shared" si="0"/>
        <v>-10</v>
      </c>
      <c r="P18" s="104">
        <f t="shared" si="1"/>
        <v>5.5</v>
      </c>
      <c r="Q18" s="103">
        <f t="shared" si="2"/>
        <v>0</v>
      </c>
    </row>
    <row r="19" spans="7:17" x14ac:dyDescent="0.25">
      <c r="I19" s="141">
        <f>SUM(I7:I18)/2</f>
        <v>5</v>
      </c>
      <c r="J19" s="141">
        <f>SUM(J7:J18)</f>
        <v>3</v>
      </c>
      <c r="K19" s="141">
        <f>SUM(K7:K18)/2</f>
        <v>2</v>
      </c>
      <c r="L19" s="141">
        <f>SUM(L7:L18)</f>
        <v>3</v>
      </c>
      <c r="M19" s="141">
        <f>SUM(M7:M18)</f>
        <v>25</v>
      </c>
      <c r="N19" s="141">
        <f>SUM(N7:N18)</f>
        <v>25</v>
      </c>
    </row>
  </sheetData>
  <sheetProtection algorithmName="SHA-512" hashValue="9tRNJ38g6mCcRyHBd1/NZokaRoPVvljljWCEnjR2LKTjedCbRE13FJzG2Rjv5Jid5nAtstDg6jIcRENUU9eiKQ==" saltValue="y1jjuQK08WjNPwDsD1bIpg==" spinCount="100000" sheet="1" objects="1" scenarios="1" formatCells="0" sort="0"/>
  <sortState ref="H7:Q18">
    <sortCondition descending="1" ref="Q7:Q18"/>
    <sortCondition descending="1" ref="O7:O18"/>
    <sortCondition ref="I7:I18"/>
    <sortCondition descending="1" ref="M7:M18"/>
    <sortCondition ref="N7:N18"/>
  </sortState>
  <mergeCells count="1">
    <mergeCell ref="H4:Q5"/>
  </mergeCells>
  <phoneticPr fontId="21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ACTUALIZAR_GRUPO_A">
                <anchor moveWithCells="1" sizeWithCells="1">
                  <from>
                    <xdr:col>17</xdr:col>
                    <xdr:colOff>619125</xdr:colOff>
                    <xdr:row>9</xdr:row>
                    <xdr:rowOff>38100</xdr:rowOff>
                  </from>
                  <to>
                    <xdr:col>19</xdr:col>
                    <xdr:colOff>933450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E92E1-C105-4D0E-BD26-CB019CC85A3D}">
  <sheetPr codeName="Hoja22"/>
  <dimension ref="A1:BK19"/>
  <sheetViews>
    <sheetView showGridLines="0" zoomScaleNormal="100" workbookViewId="0">
      <pane xSplit="3" ySplit="2" topLeftCell="D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RowHeight="15" x14ac:dyDescent="0.25"/>
  <cols>
    <col min="1" max="1" width="20.7109375" style="7" customWidth="1"/>
    <col min="2" max="2" width="3.28515625" style="7" bestFit="1" customWidth="1"/>
    <col min="3" max="3" width="37" style="7" bestFit="1" customWidth="1"/>
    <col min="4" max="4" width="10.7109375" style="7" customWidth="1"/>
    <col min="5" max="6" width="5.7109375" style="17" customWidth="1"/>
    <col min="7" max="7" width="5.7109375" style="17" hidden="1" customWidth="1"/>
    <col min="8" max="8" width="10.7109375" style="17" customWidth="1"/>
    <col min="9" max="9" width="10.7109375" style="22" customWidth="1"/>
    <col min="10" max="11" width="5.7109375" style="17" customWidth="1"/>
    <col min="12" max="12" width="5.7109375" style="17" hidden="1" customWidth="1"/>
    <col min="13" max="13" width="10.7109375" style="17" customWidth="1"/>
    <col min="14" max="14" width="10.7109375" style="22" customWidth="1"/>
    <col min="15" max="16" width="5.7109375" style="17" customWidth="1"/>
    <col min="17" max="17" width="5.7109375" style="17" hidden="1" customWidth="1"/>
    <col min="18" max="18" width="10.7109375" style="17" customWidth="1"/>
    <col min="19" max="19" width="10.7109375" style="22" customWidth="1"/>
    <col min="20" max="21" width="5.7109375" style="17" customWidth="1"/>
    <col min="22" max="22" width="5.7109375" style="17" hidden="1" customWidth="1"/>
    <col min="23" max="23" width="10.7109375" style="17" customWidth="1"/>
    <col min="24" max="24" width="10.7109375" style="22" customWidth="1"/>
    <col min="25" max="26" width="5.7109375" style="17" customWidth="1"/>
    <col min="27" max="27" width="5.7109375" style="17" hidden="1" customWidth="1"/>
    <col min="28" max="28" width="10.7109375" style="17" customWidth="1"/>
    <col min="29" max="29" width="10.7109375" style="22" customWidth="1"/>
    <col min="30" max="31" width="5.7109375" style="17" customWidth="1"/>
    <col min="32" max="32" width="5.7109375" style="17" hidden="1" customWidth="1"/>
    <col min="33" max="33" width="10.7109375" style="17" customWidth="1"/>
    <col min="34" max="34" width="10.7109375" style="22" customWidth="1"/>
    <col min="35" max="36" width="5.7109375" style="17" customWidth="1"/>
    <col min="37" max="37" width="5.7109375" style="17" hidden="1" customWidth="1"/>
    <col min="38" max="38" width="10.7109375" style="17" customWidth="1"/>
    <col min="39" max="39" width="10.7109375" style="22" customWidth="1"/>
    <col min="40" max="41" width="5.7109375" style="17" customWidth="1"/>
    <col min="42" max="42" width="5.7109375" style="17" hidden="1" customWidth="1"/>
    <col min="43" max="43" width="10.7109375" style="17" customWidth="1"/>
    <col min="44" max="44" width="10.7109375" style="22" customWidth="1"/>
    <col min="45" max="46" width="5.7109375" style="17" customWidth="1"/>
    <col min="47" max="47" width="5.7109375" style="17" hidden="1" customWidth="1"/>
    <col min="48" max="48" width="10.7109375" style="17" customWidth="1"/>
    <col min="49" max="49" width="10.7109375" style="22" customWidth="1"/>
    <col min="50" max="51" width="5.7109375" style="17" customWidth="1"/>
    <col min="52" max="52" width="5.7109375" style="17" hidden="1" customWidth="1"/>
    <col min="53" max="53" width="10.7109375" style="17" customWidth="1"/>
    <col min="54" max="54" width="10.7109375" style="22" customWidth="1"/>
    <col min="55" max="56" width="5.7109375" style="17" customWidth="1"/>
    <col min="57" max="57" width="5.7109375" style="17" hidden="1" customWidth="1"/>
    <col min="58" max="58" width="10.7109375" style="17" customWidth="1"/>
    <col min="59" max="59" width="10.7109375" style="22" customWidth="1"/>
    <col min="60" max="61" width="5.7109375" style="17" customWidth="1"/>
    <col min="62" max="62" width="5.7109375" style="17" hidden="1" customWidth="1"/>
    <col min="63" max="63" width="10.7109375" style="17" customWidth="1"/>
    <col min="64" max="16384" width="11.42578125" style="7"/>
  </cols>
  <sheetData>
    <row r="1" spans="1:63" x14ac:dyDescent="0.25">
      <c r="A1" s="255" t="s">
        <v>128</v>
      </c>
      <c r="B1" s="257" t="s">
        <v>37</v>
      </c>
      <c r="C1" s="264" t="s">
        <v>130</v>
      </c>
      <c r="D1" s="242" t="str">
        <f>C3</f>
        <v>LOS TRONCOS</v>
      </c>
      <c r="E1" s="242"/>
      <c r="F1" s="242"/>
      <c r="G1" s="242"/>
      <c r="H1" s="242"/>
      <c r="I1" s="242" t="str">
        <f>C4</f>
        <v>GR CONSTRUCCIONES</v>
      </c>
      <c r="J1" s="242"/>
      <c r="K1" s="242"/>
      <c r="L1" s="242"/>
      <c r="M1" s="242"/>
      <c r="N1" s="242" t="str">
        <f>C5</f>
        <v>ABC JURIDICAS S.A.S ( B )</v>
      </c>
      <c r="O1" s="242"/>
      <c r="P1" s="242"/>
      <c r="Q1" s="242"/>
      <c r="R1" s="242"/>
      <c r="S1" s="242" t="str">
        <f>C6</f>
        <v>SURTIYA</v>
      </c>
      <c r="T1" s="242"/>
      <c r="U1" s="242"/>
      <c r="V1" s="242"/>
      <c r="W1" s="242"/>
      <c r="X1" s="242" t="str">
        <f>C7</f>
        <v>BODEGAS COLOMBIA</v>
      </c>
      <c r="Y1" s="242"/>
      <c r="Z1" s="242"/>
      <c r="AA1" s="242"/>
      <c r="AB1" s="242"/>
      <c r="AC1" s="242" t="str">
        <f>C8</f>
        <v>PLATENSE</v>
      </c>
      <c r="AD1" s="242"/>
      <c r="AE1" s="242"/>
      <c r="AF1" s="242"/>
      <c r="AG1" s="242"/>
      <c r="AH1" s="242" t="str">
        <f>C9</f>
        <v>BILIF MANIZALES (EL CARMEN)</v>
      </c>
      <c r="AI1" s="242"/>
      <c r="AJ1" s="242"/>
      <c r="AK1" s="242"/>
      <c r="AL1" s="242"/>
      <c r="AM1" s="242" t="str">
        <f>C10</f>
        <v>CUCOS F.C</v>
      </c>
      <c r="AN1" s="242"/>
      <c r="AO1" s="242"/>
      <c r="AP1" s="242"/>
      <c r="AQ1" s="242"/>
      <c r="AR1" s="242" t="str">
        <f>C11</f>
        <v>RB LEIPZIG</v>
      </c>
      <c r="AS1" s="242"/>
      <c r="AT1" s="242"/>
      <c r="AU1" s="242"/>
      <c r="AV1" s="242"/>
      <c r="AW1" s="242">
        <f>C12</f>
        <v>0</v>
      </c>
      <c r="AX1" s="242"/>
      <c r="AY1" s="242"/>
      <c r="AZ1" s="242"/>
      <c r="BA1" s="242"/>
      <c r="BB1" s="242">
        <f>C13</f>
        <v>0</v>
      </c>
      <c r="BC1" s="242"/>
      <c r="BD1" s="242"/>
      <c r="BE1" s="242"/>
      <c r="BF1" s="242"/>
      <c r="BG1" s="242">
        <f>C14</f>
        <v>0</v>
      </c>
      <c r="BH1" s="242"/>
      <c r="BI1" s="242"/>
      <c r="BJ1" s="242"/>
      <c r="BK1" s="242"/>
    </row>
    <row r="2" spans="1:63" x14ac:dyDescent="0.25">
      <c r="A2" s="255"/>
      <c r="B2" s="257"/>
      <c r="C2" s="264"/>
      <c r="D2" s="8" t="s">
        <v>67</v>
      </c>
      <c r="E2" s="244" t="s">
        <v>69</v>
      </c>
      <c r="F2" s="245"/>
      <c r="G2" s="86"/>
      <c r="H2" s="20" t="s">
        <v>68</v>
      </c>
      <c r="I2" s="21" t="s">
        <v>67</v>
      </c>
      <c r="J2" s="244" t="s">
        <v>69</v>
      </c>
      <c r="K2" s="245"/>
      <c r="L2" s="86"/>
      <c r="M2" s="20" t="s">
        <v>68</v>
      </c>
      <c r="N2" s="21" t="s">
        <v>67</v>
      </c>
      <c r="O2" s="244" t="s">
        <v>69</v>
      </c>
      <c r="P2" s="245"/>
      <c r="Q2" s="86"/>
      <c r="R2" s="20" t="s">
        <v>68</v>
      </c>
      <c r="S2" s="21" t="s">
        <v>67</v>
      </c>
      <c r="T2" s="244" t="s">
        <v>69</v>
      </c>
      <c r="U2" s="245"/>
      <c r="V2" s="86"/>
      <c r="W2" s="20" t="s">
        <v>68</v>
      </c>
      <c r="X2" s="21" t="s">
        <v>67</v>
      </c>
      <c r="Y2" s="244" t="s">
        <v>69</v>
      </c>
      <c r="Z2" s="245"/>
      <c r="AA2" s="86"/>
      <c r="AB2" s="20" t="s">
        <v>68</v>
      </c>
      <c r="AC2" s="21" t="s">
        <v>67</v>
      </c>
      <c r="AD2" s="244" t="s">
        <v>69</v>
      </c>
      <c r="AE2" s="245"/>
      <c r="AF2" s="86"/>
      <c r="AG2" s="20" t="s">
        <v>68</v>
      </c>
      <c r="AH2" s="21" t="s">
        <v>67</v>
      </c>
      <c r="AI2" s="244" t="s">
        <v>69</v>
      </c>
      <c r="AJ2" s="245"/>
      <c r="AK2" s="86"/>
      <c r="AL2" s="20" t="s">
        <v>68</v>
      </c>
      <c r="AM2" s="21" t="s">
        <v>67</v>
      </c>
      <c r="AN2" s="244" t="s">
        <v>69</v>
      </c>
      <c r="AO2" s="245"/>
      <c r="AP2" s="86"/>
      <c r="AQ2" s="20" t="s">
        <v>68</v>
      </c>
      <c r="AR2" s="21" t="s">
        <v>67</v>
      </c>
      <c r="AS2" s="244" t="s">
        <v>69</v>
      </c>
      <c r="AT2" s="245"/>
      <c r="AU2" s="86"/>
      <c r="AV2" s="20" t="s">
        <v>68</v>
      </c>
      <c r="AW2" s="21" t="s">
        <v>67</v>
      </c>
      <c r="AX2" s="244" t="s">
        <v>69</v>
      </c>
      <c r="AY2" s="245"/>
      <c r="AZ2" s="86"/>
      <c r="BA2" s="20" t="s">
        <v>68</v>
      </c>
      <c r="BB2" s="21" t="s">
        <v>67</v>
      </c>
      <c r="BC2" s="244" t="s">
        <v>69</v>
      </c>
      <c r="BD2" s="245"/>
      <c r="BE2" s="86"/>
      <c r="BF2" s="20" t="s">
        <v>68</v>
      </c>
      <c r="BG2" s="21" t="s">
        <v>67</v>
      </c>
      <c r="BH2" s="244" t="s">
        <v>69</v>
      </c>
      <c r="BI2" s="245"/>
      <c r="BJ2" s="86"/>
      <c r="BK2" s="20" t="s">
        <v>68</v>
      </c>
    </row>
    <row r="3" spans="1:63" x14ac:dyDescent="0.25">
      <c r="A3" s="143"/>
      <c r="B3" s="240">
        <v>1</v>
      </c>
      <c r="C3" s="110" t="s">
        <v>213</v>
      </c>
      <c r="D3" s="243" t="s">
        <v>66</v>
      </c>
      <c r="E3" s="243"/>
      <c r="F3" s="243"/>
      <c r="G3" s="243"/>
      <c r="H3" s="243"/>
      <c r="I3" s="89" t="str">
        <f>IF(D4&lt;&gt;0,D4," ")</f>
        <v xml:space="preserve"> </v>
      </c>
      <c r="J3" s="90" t="str">
        <f>IF(D4&lt;&gt;0,F4, " ")</f>
        <v xml:space="preserve"> </v>
      </c>
      <c r="K3" s="90" t="str">
        <f>IF(D4&lt;&gt;0,E4," ")</f>
        <v xml:space="preserve"> </v>
      </c>
      <c r="L3" s="16" t="str">
        <f>IF(D4&lt;&gt;0,IF(J3&lt;K3,"3",IF(J3&gt;K3,"0","1")),"")</f>
        <v/>
      </c>
      <c r="M3" s="90" t="str">
        <f>IF(D4&lt;&gt;0,H4," ")</f>
        <v xml:space="preserve"> </v>
      </c>
      <c r="N3" s="223" t="str">
        <f>IF(D5&lt;&gt;0,D5," ")</f>
        <v xml:space="preserve"> </v>
      </c>
      <c r="O3" s="224" t="str">
        <f>IF(D5&lt;&gt;0,F5," ")</f>
        <v xml:space="preserve"> </v>
      </c>
      <c r="P3" s="224" t="str">
        <f>IF(D5&lt;&gt;0,E5," ")</f>
        <v xml:space="preserve"> </v>
      </c>
      <c r="Q3" s="225" t="str">
        <f>IF(D5&lt;&gt;0,IF(O3&lt;P3,"3",IF(O3&gt;P3,"0","1")),"")</f>
        <v/>
      </c>
      <c r="R3" s="224" t="str">
        <f>IF(D5&lt;&gt;0,H5," ")</f>
        <v xml:space="preserve"> </v>
      </c>
      <c r="S3" s="223">
        <f>IF(D6&lt;&gt;0,D6," ")</f>
        <v>44766</v>
      </c>
      <c r="T3" s="224">
        <f>IF(D6&lt;&gt;0,F6," ")</f>
        <v>1</v>
      </c>
      <c r="U3" s="224">
        <f>IF(D6&lt;&gt;0,E6," ")</f>
        <v>3</v>
      </c>
      <c r="V3" s="225" t="str">
        <f>IF(D6&lt;&gt;0,IF(T3&lt;U3,"3",IF(T3&gt;U3,"0","1")),"")</f>
        <v>3</v>
      </c>
      <c r="W3" s="227">
        <f>IF(D6&lt;&gt;0,H6," ")</f>
        <v>4</v>
      </c>
      <c r="X3" s="12" t="str">
        <f>IF(D7&lt;&gt;0,D7," ")</f>
        <v xml:space="preserve"> </v>
      </c>
      <c r="Y3" s="18" t="str">
        <f>IF(D7&lt;&gt;0,F7," ")</f>
        <v xml:space="preserve"> </v>
      </c>
      <c r="Z3" s="90" t="str">
        <f>IF(D7&lt;&gt;0,E7," ")</f>
        <v xml:space="preserve"> </v>
      </c>
      <c r="AA3" s="16" t="str">
        <f>IF(D7&lt;&gt;0,IF(Y3&lt;Z3,"3",IF(Y3&gt;Z3,"0","1")),"")</f>
        <v/>
      </c>
      <c r="AB3" s="18" t="str">
        <f>IF(D7&lt;&gt;0,H7," ")</f>
        <v xml:space="preserve"> </v>
      </c>
      <c r="AC3" s="12" t="str">
        <f>IF(D8&lt;&gt;0,D8," ")</f>
        <v xml:space="preserve"> </v>
      </c>
      <c r="AD3" s="18" t="str">
        <f>IF(D8&lt;&gt;0,F8," ")</f>
        <v xml:space="preserve"> </v>
      </c>
      <c r="AE3" s="90" t="str">
        <f>IF(D8&lt;&gt;0,E8," ")</f>
        <v xml:space="preserve"> </v>
      </c>
      <c r="AF3" s="16" t="str">
        <f>IF(D8&lt;&gt;0,IF(AD3&lt;AE3,"3",IF(AD3&gt;AE3,"0","1")),"")</f>
        <v/>
      </c>
      <c r="AG3" s="18" t="str">
        <f>IF(D8&lt;&gt;0,H8," ")</f>
        <v xml:space="preserve"> </v>
      </c>
      <c r="AH3" s="12" t="str">
        <f>IF(D9&lt;&gt;0,D9," ")</f>
        <v xml:space="preserve"> </v>
      </c>
      <c r="AI3" s="18" t="str">
        <f>IF(D9&lt;&gt;0,F9," ")</f>
        <v xml:space="preserve"> </v>
      </c>
      <c r="AJ3" s="19" t="str">
        <f>IF(D9&lt;&gt;0,E9," ")</f>
        <v xml:space="preserve"> </v>
      </c>
      <c r="AK3" s="16" t="str">
        <f>IF(D9&lt;&gt;0,IF(AI3&lt;AJ3,"3",IF(AI3&gt;AJ3,"0","1")),"")</f>
        <v/>
      </c>
      <c r="AL3" s="18" t="str">
        <f>IF(D9&lt;&gt;0,H9," ")</f>
        <v xml:space="preserve"> </v>
      </c>
      <c r="AM3" s="12" t="str">
        <f>IF(D10&lt;&gt;0,D10," ")</f>
        <v xml:space="preserve"> </v>
      </c>
      <c r="AN3" s="18" t="str">
        <f>IF(D10&lt;&gt;0,F10," ")</f>
        <v xml:space="preserve"> </v>
      </c>
      <c r="AO3" s="19" t="str">
        <f>IF(D10&lt;&gt;0,E10," ")</f>
        <v xml:space="preserve"> </v>
      </c>
      <c r="AP3" s="16" t="str">
        <f>IF(D10&lt;&gt;0,IF(AN3&lt;AO3,"3",IF(AN3&gt;AO3,"0","1")),"")</f>
        <v/>
      </c>
      <c r="AQ3" s="18" t="str">
        <f>IF(D10&lt;&gt;0,H10," ")</f>
        <v xml:space="preserve"> </v>
      </c>
      <c r="AR3" s="12" t="str">
        <f>IF(D11&lt;&gt;0,D11," ")</f>
        <v xml:space="preserve"> </v>
      </c>
      <c r="AS3" s="18" t="str">
        <f>IF(D11&lt;&gt;0,F11," ")</f>
        <v xml:space="preserve"> </v>
      </c>
      <c r="AT3" s="19" t="str">
        <f>IF(D11&lt;&gt;0,E11," ")</f>
        <v xml:space="preserve"> </v>
      </c>
      <c r="AU3" s="16" t="str">
        <f>IF(D11&lt;&gt;0,IF(AS3&lt;AT3,"3",IF(AS3&gt;AT3,"0","1")),"")</f>
        <v/>
      </c>
      <c r="AV3" s="18" t="str">
        <f>IF(D11&lt;&gt;0,H11," ")</f>
        <v xml:space="preserve"> </v>
      </c>
      <c r="AW3" s="12" t="str">
        <f>IF(D12&lt;&gt;0,D12," ")</f>
        <v xml:space="preserve"> </v>
      </c>
      <c r="AX3" s="18" t="str">
        <f>IF(D12&lt;&gt;0,F12," ")</f>
        <v xml:space="preserve"> </v>
      </c>
      <c r="AY3" s="19" t="str">
        <f>IF(D12&lt;&gt;0,E12," ")</f>
        <v xml:space="preserve"> </v>
      </c>
      <c r="AZ3" s="16" t="str">
        <f>IF(D12&lt;&gt;0,IF(AX3&lt;AY3,"3",IF(AX3&gt;AY3,"0","1")),"")</f>
        <v/>
      </c>
      <c r="BA3" s="18" t="str">
        <f>IF(D12&lt;&gt;0,H12," ")</f>
        <v xml:space="preserve"> </v>
      </c>
      <c r="BB3" s="12" t="str">
        <f>IF(D13&lt;&gt;0,D13," ")</f>
        <v xml:space="preserve"> </v>
      </c>
      <c r="BC3" s="18" t="str">
        <f>IF(D13&lt;&gt;0,F13," ")</f>
        <v xml:space="preserve"> </v>
      </c>
      <c r="BD3" s="19" t="str">
        <f>IF(D13&lt;&gt;0,E13," ")</f>
        <v xml:space="preserve"> </v>
      </c>
      <c r="BE3" s="16" t="str">
        <f>IF(D13&lt;&gt;0,IF(BC3&lt;BD3,"3",IF(BC3&gt;BD3,"0","1")),"")</f>
        <v/>
      </c>
      <c r="BF3" s="18" t="str">
        <f>IF(D13&lt;&gt;0,H13," ")</f>
        <v xml:space="preserve"> </v>
      </c>
      <c r="BG3" s="12" t="str">
        <f>IF(D14&lt;&gt;0,D14," ")</f>
        <v xml:space="preserve"> </v>
      </c>
      <c r="BH3" s="18" t="str">
        <f>IF(D14&lt;&gt;0,F14," ")</f>
        <v xml:space="preserve"> </v>
      </c>
      <c r="BI3" s="19" t="str">
        <f>IF(D14&lt;&gt;0,E14," ")</f>
        <v xml:space="preserve"> </v>
      </c>
      <c r="BJ3" s="16" t="str">
        <f>IF(D14&lt;&gt;0,IF(BH3&lt;BI3,"3",IF(BH3&gt;BI3,"0","1")),"")</f>
        <v/>
      </c>
      <c r="BK3" s="18" t="str">
        <f>IF(D14&lt;&gt;0,H14," ")</f>
        <v xml:space="preserve"> </v>
      </c>
    </row>
    <row r="4" spans="1:63" x14ac:dyDescent="0.25">
      <c r="A4" s="143" t="s">
        <v>301</v>
      </c>
      <c r="B4" s="192">
        <v>2</v>
      </c>
      <c r="C4" s="110" t="s">
        <v>102</v>
      </c>
      <c r="D4" s="93"/>
      <c r="E4" s="94"/>
      <c r="F4" s="94"/>
      <c r="G4" s="95" t="str">
        <f t="shared" ref="G4:G14" si="0">IF(D4&lt;&gt;0,IF(E4&lt;F4,"3",IF(E4&gt;F4,"0","1")),"")</f>
        <v/>
      </c>
      <c r="H4" s="95"/>
      <c r="I4" s="243" t="s">
        <v>66</v>
      </c>
      <c r="J4" s="243"/>
      <c r="K4" s="243"/>
      <c r="L4" s="243"/>
      <c r="M4" s="243"/>
      <c r="N4" s="226">
        <f>IF(I5&lt;&gt;0,I5," ")</f>
        <v>44765</v>
      </c>
      <c r="O4" s="227">
        <f>IF(I5&lt;&gt;0,K5," ")</f>
        <v>2</v>
      </c>
      <c r="P4" s="224">
        <f>IF(I5&lt;&gt;0,J5," ")</f>
        <v>4</v>
      </c>
      <c r="Q4" s="225" t="str">
        <f>IF(I5&lt;&gt;0,IF(O4&lt;P4,"3",IF(O4&gt;P4,"0","1")),"")</f>
        <v>3</v>
      </c>
      <c r="R4" s="227">
        <f>IF(I5&lt;&gt;0,M5," ")</f>
        <v>2</v>
      </c>
      <c r="S4" s="12" t="str">
        <f>IF(I6&lt;&gt;0,I6," ")</f>
        <v xml:space="preserve"> </v>
      </c>
      <c r="T4" s="18" t="str">
        <f>IF(I6&lt;&gt;0,K6," ")</f>
        <v xml:space="preserve"> </v>
      </c>
      <c r="U4" s="19" t="str">
        <f>IF(I6&lt;&gt;0,J6," ")</f>
        <v xml:space="preserve"> </v>
      </c>
      <c r="V4" s="16" t="str">
        <f>IF(I6&lt;&gt;0,IF(T4&lt;U4,"3",IF(T4&gt;U4,"0","1")),"")</f>
        <v/>
      </c>
      <c r="W4" s="18" t="str">
        <f>IF(I6&lt;&gt;0,M6," ")</f>
        <v xml:space="preserve"> </v>
      </c>
      <c r="X4" s="226">
        <f>IF(I7&lt;&gt;0,I7," ")</f>
        <v>44759</v>
      </c>
      <c r="Y4" s="227">
        <f>IF(I7&lt;&gt;0,K7," ")</f>
        <v>1</v>
      </c>
      <c r="Z4" s="224">
        <f>IF(I7&lt;&gt;0,J7," ")</f>
        <v>2</v>
      </c>
      <c r="AA4" s="225" t="str">
        <f>IF(I7&lt;&gt;0,IF(Y4&lt;Z4,"3",IF(Y4&gt;Z4,"0","1")),"")</f>
        <v>3</v>
      </c>
      <c r="AB4" s="227">
        <f>IF(I7&lt;&gt;0,M7," ")</f>
        <v>2</v>
      </c>
      <c r="AC4" s="12" t="str">
        <f>IF(I8&lt;&gt;0,I8," ")</f>
        <v xml:space="preserve"> </v>
      </c>
      <c r="AD4" s="18" t="str">
        <f>IF(I8&lt;&gt;0,K8," ")</f>
        <v xml:space="preserve"> </v>
      </c>
      <c r="AE4" s="18" t="str">
        <f>IF(I8&lt;&gt;0,J8," ")</f>
        <v xml:space="preserve"> </v>
      </c>
      <c r="AF4" s="16" t="str">
        <f>IF(I8&lt;&gt;0,IF(AD4&lt;AE4,"3",IF(AD4&gt;AE4,"0","1")),"")</f>
        <v/>
      </c>
      <c r="AG4" s="18" t="str">
        <f>IF(I8&lt;&gt;0,M8," ")</f>
        <v xml:space="preserve"> </v>
      </c>
      <c r="AH4" s="12" t="str">
        <f>IF(I9&lt;&gt;0,I9," ")</f>
        <v xml:space="preserve"> </v>
      </c>
      <c r="AI4" s="18" t="str">
        <f>IF(I9&lt;&gt;0,K9," ")</f>
        <v xml:space="preserve"> </v>
      </c>
      <c r="AJ4" s="19" t="str">
        <f>IF(I9&lt;&gt;0,J9," ")</f>
        <v xml:space="preserve"> </v>
      </c>
      <c r="AK4" s="16" t="str">
        <f>IF(I9&lt;&gt;0,IF(AI4&lt;AJ4,"3",IF(AI4&gt;AJ4,"0","1")),"")</f>
        <v/>
      </c>
      <c r="AL4" s="18" t="str">
        <f>IF(I9&lt;&gt;0,M9," ")</f>
        <v xml:space="preserve"> </v>
      </c>
      <c r="AM4" s="12" t="str">
        <f>IF(I10&lt;&gt;0,I10," ")</f>
        <v xml:space="preserve"> </v>
      </c>
      <c r="AN4" s="18" t="str">
        <f>IF(I10&lt;&gt;0,K10," ")</f>
        <v xml:space="preserve"> </v>
      </c>
      <c r="AO4" s="18" t="str">
        <f>IF(I10&lt;&gt;0,J10," ")</f>
        <v xml:space="preserve"> </v>
      </c>
      <c r="AP4" s="16" t="str">
        <f>IF(I10&lt;&gt;0,IF(AN4&lt;AO4,"3",IF(AN4&gt;AO4,"0","1")),"")</f>
        <v/>
      </c>
      <c r="AQ4" s="18" t="str">
        <f>IF(I10&lt;&gt;0,M10," ")</f>
        <v xml:space="preserve"> </v>
      </c>
      <c r="AR4" s="12" t="str">
        <f>IF(I11&lt;&gt;0,I11," ")</f>
        <v xml:space="preserve"> </v>
      </c>
      <c r="AS4" s="18" t="str">
        <f>IF(I11&lt;&gt;0,K11," ")</f>
        <v xml:space="preserve"> </v>
      </c>
      <c r="AT4" s="18" t="str">
        <f>IF(I11&lt;&gt;0,J11," ")</f>
        <v xml:space="preserve"> </v>
      </c>
      <c r="AU4" s="16" t="str">
        <f>IF(I11&lt;&gt;0,IF(AS4&lt;AT4,"3",IF(AS4&gt;AT4,"0","1")),"")</f>
        <v/>
      </c>
      <c r="AV4" s="18" t="str">
        <f>IF(I11&lt;&gt;0,M11," ")</f>
        <v xml:space="preserve"> </v>
      </c>
      <c r="AW4" s="12" t="str">
        <f>IF(I12&lt;&gt;0,I12," ")</f>
        <v xml:space="preserve"> </v>
      </c>
      <c r="AX4" s="18" t="str">
        <f>IF(I12&lt;&gt;0,K12," ")</f>
        <v xml:space="preserve"> </v>
      </c>
      <c r="AY4" s="18" t="str">
        <f>IF(I12&lt;&gt;0,J12," ")</f>
        <v xml:space="preserve"> </v>
      </c>
      <c r="AZ4" s="16" t="str">
        <f>IF(I12&lt;&gt;0,IF(AX4&lt;AY4,"3",IF(AX4&gt;AY4,"0","1")),"")</f>
        <v/>
      </c>
      <c r="BA4" s="18" t="str">
        <f>IF(I12&lt;&gt;0,M12," ")</f>
        <v xml:space="preserve"> </v>
      </c>
      <c r="BB4" s="12" t="str">
        <f>IF(I13&lt;&gt;0,I13," ")</f>
        <v xml:space="preserve"> </v>
      </c>
      <c r="BC4" s="18" t="str">
        <f>IF(I13&lt;&gt;0,K13," ")</f>
        <v xml:space="preserve"> </v>
      </c>
      <c r="BD4" s="19" t="str">
        <f>IF(I13&lt;&gt;0,J13," ")</f>
        <v xml:space="preserve"> </v>
      </c>
      <c r="BE4" s="16" t="str">
        <f>IF(I13&lt;&gt;0,IF(BC4&lt;BD4,"3",IF(BC4&gt;BD4,"0","1")),"")</f>
        <v/>
      </c>
      <c r="BF4" s="18" t="str">
        <f>IF(I13&lt;&gt;0,M13," ")</f>
        <v xml:space="preserve"> </v>
      </c>
      <c r="BG4" s="12" t="str">
        <f>IF(I14&lt;&gt;0,I14," ")</f>
        <v xml:space="preserve"> </v>
      </c>
      <c r="BH4" s="18" t="str">
        <f>IF(I14&lt;&gt;0,K14," ")</f>
        <v xml:space="preserve"> </v>
      </c>
      <c r="BI4" s="19" t="str">
        <f>IF(I14&lt;&gt;0,J14," ")</f>
        <v xml:space="preserve"> </v>
      </c>
      <c r="BJ4" s="16" t="str">
        <f>IF(I14&lt;&gt;0,IF(BH4&lt;BI4,"3",IF(BH4&gt;BI4,"0","1")),"")</f>
        <v/>
      </c>
      <c r="BK4" s="18" t="str">
        <f>IF(I14&lt;&gt;0,M14," ")</f>
        <v xml:space="preserve"> </v>
      </c>
    </row>
    <row r="5" spans="1:63" x14ac:dyDescent="0.25">
      <c r="A5" s="143" t="s">
        <v>302</v>
      </c>
      <c r="B5" s="240">
        <v>3</v>
      </c>
      <c r="C5" s="110" t="s">
        <v>136</v>
      </c>
      <c r="D5" s="220"/>
      <c r="E5" s="221"/>
      <c r="F5" s="221"/>
      <c r="G5" s="222" t="str">
        <f t="shared" si="0"/>
        <v/>
      </c>
      <c r="H5" s="222"/>
      <c r="I5" s="220">
        <v>44765</v>
      </c>
      <c r="J5" s="221">
        <v>4</v>
      </c>
      <c r="K5" s="221">
        <v>2</v>
      </c>
      <c r="L5" s="222" t="str">
        <f t="shared" ref="L5:L14" si="1">IF(I5&lt;&gt;0,IF(J5&lt;K5,"3",IF(J5&gt;K5,"0","1")),"")</f>
        <v>0</v>
      </c>
      <c r="M5" s="222">
        <v>2</v>
      </c>
      <c r="N5" s="243" t="s">
        <v>66</v>
      </c>
      <c r="O5" s="243"/>
      <c r="P5" s="243"/>
      <c r="Q5" s="243"/>
      <c r="R5" s="243"/>
      <c r="S5" s="226">
        <f>IF(N6&lt;&gt;0,N6," ")</f>
        <v>44759</v>
      </c>
      <c r="T5" s="227">
        <f>IF(N6&lt;&gt;0,P6," ")</f>
        <v>6</v>
      </c>
      <c r="U5" s="224">
        <f>IF(N6&lt;&gt;0,O6," ")</f>
        <v>0</v>
      </c>
      <c r="V5" s="225" t="str">
        <f>IF(N6&lt;&gt;0,IF(T5&lt;U5,"3",IF(T5&gt;U5,"0","1")),"")</f>
        <v>0</v>
      </c>
      <c r="W5" s="227">
        <f>IF(N6&lt;&gt;0,R6," ")</f>
        <v>2</v>
      </c>
      <c r="X5" s="12" t="str">
        <f>IF(N7&lt;&gt;0,N7," ")</f>
        <v xml:space="preserve"> </v>
      </c>
      <c r="Y5" s="18" t="str">
        <f>IF(N7&lt;&gt;0,P7," ")</f>
        <v xml:space="preserve"> </v>
      </c>
      <c r="Z5" s="19" t="str">
        <f>IF(N7&lt;&gt;0,O7," ")</f>
        <v xml:space="preserve"> </v>
      </c>
      <c r="AA5" s="16" t="str">
        <f>IF(N7&lt;&gt;0,IF(Y5&lt;Z5,"3",IF(Y5&gt;Z5,"0","1")),"")</f>
        <v/>
      </c>
      <c r="AB5" s="18" t="str">
        <f>IF(N7&lt;&gt;0,R7," ")</f>
        <v xml:space="preserve"> </v>
      </c>
      <c r="AC5" s="12" t="str">
        <f>IF(N8&lt;&gt;0,N8," ")</f>
        <v xml:space="preserve"> </v>
      </c>
      <c r="AD5" s="18" t="str">
        <f>IF(N8&lt;&gt;0,P8," ")</f>
        <v xml:space="preserve"> </v>
      </c>
      <c r="AE5" s="18" t="str">
        <f>IF(N8&lt;&gt;0,O8," ")</f>
        <v xml:space="preserve"> </v>
      </c>
      <c r="AF5" s="16" t="str">
        <f>IF(N8&lt;&gt;0,IF(AD5&lt;AE5,"3",IF(AD5&gt;AE5,"0","1")),"")</f>
        <v/>
      </c>
      <c r="AG5" s="18" t="str">
        <f>IF(N8&lt;&gt;0,R8," ")</f>
        <v xml:space="preserve"> </v>
      </c>
      <c r="AH5" s="12" t="str">
        <f>IF(N9&lt;&gt;0,N9," ")</f>
        <v xml:space="preserve"> </v>
      </c>
      <c r="AI5" s="18" t="str">
        <f>IF(N9&lt;&gt;0,P9," ")</f>
        <v xml:space="preserve"> </v>
      </c>
      <c r="AJ5" s="19" t="str">
        <f>IF(N9&lt;&gt;0,O9," ")</f>
        <v xml:space="preserve"> </v>
      </c>
      <c r="AK5" s="16" t="str">
        <f>IF(N9&lt;&gt;0,IF(AI5&lt;AJ5,"3",IF(AI5&gt;AJ5,"0","1")),"")</f>
        <v/>
      </c>
      <c r="AL5" s="18" t="str">
        <f>IF(N9&lt;&gt;0,R9," ")</f>
        <v xml:space="preserve"> </v>
      </c>
      <c r="AM5" s="12" t="str">
        <f>IF(N10&lt;&gt;0,N10," ")</f>
        <v xml:space="preserve"> </v>
      </c>
      <c r="AN5" s="18" t="str">
        <f>IF(N10&lt;&gt;0,P10," ")</f>
        <v xml:space="preserve"> </v>
      </c>
      <c r="AO5" s="19" t="str">
        <f>IF(N10&lt;&gt;0,O10," ")</f>
        <v xml:space="preserve"> </v>
      </c>
      <c r="AP5" s="16" t="str">
        <f>IF(N10&lt;&gt;0,IF(AN5&lt;AO5,"3",IF(AN5&gt;AO5,"0","1")),"")</f>
        <v/>
      </c>
      <c r="AQ5" s="18" t="str">
        <f>IF(N10&lt;&gt;0,R10," ")</f>
        <v xml:space="preserve"> </v>
      </c>
      <c r="AR5" s="12" t="str">
        <f>IF(N11&lt;&gt;0,N11," ")</f>
        <v xml:space="preserve"> </v>
      </c>
      <c r="AS5" s="18" t="str">
        <f>IF(N11&lt;&gt;0,P11," ")</f>
        <v xml:space="preserve"> </v>
      </c>
      <c r="AT5" s="19" t="str">
        <f>IF(N11&lt;&gt;0,O11," ")</f>
        <v xml:space="preserve"> </v>
      </c>
      <c r="AU5" s="16" t="str">
        <f>IF(N11&lt;&gt;0,IF(AS5&lt;AT5,"3",IF(AS5&gt;AT5,"0","1")),"")</f>
        <v/>
      </c>
      <c r="AV5" s="18" t="str">
        <f>IF(N11&lt;&gt;0,R11," ")</f>
        <v xml:space="preserve"> </v>
      </c>
      <c r="AW5" s="12" t="str">
        <f>IF(N12&lt;&gt;0,N12," ")</f>
        <v xml:space="preserve"> </v>
      </c>
      <c r="AX5" s="18" t="str">
        <f>IF(N12&lt;&gt;0,P12," ")</f>
        <v xml:space="preserve"> </v>
      </c>
      <c r="AY5" s="18" t="str">
        <f>IF(N12&lt;&gt;0,O12," ")</f>
        <v xml:space="preserve"> </v>
      </c>
      <c r="AZ5" s="16" t="str">
        <f>IF(N12&lt;&gt;0,IF(AX5&lt;AY5,"3",IF(AX5&gt;AY5,"0","1")),"")</f>
        <v/>
      </c>
      <c r="BA5" s="18" t="str">
        <f>IF(N12&lt;&gt;0,R12," ")</f>
        <v xml:space="preserve"> </v>
      </c>
      <c r="BB5" s="12" t="str">
        <f>IF(N13&lt;&gt;0,N13," ")</f>
        <v xml:space="preserve"> </v>
      </c>
      <c r="BC5" s="18" t="str">
        <f>IF(N13&lt;&gt;0,P13," ")</f>
        <v xml:space="preserve"> </v>
      </c>
      <c r="BD5" s="19" t="str">
        <f>IF(N13&lt;&gt;0,O13," ")</f>
        <v xml:space="preserve"> </v>
      </c>
      <c r="BE5" s="16" t="str">
        <f>IF(N13&lt;&gt;0,IF(BC5&lt;BD5,"3",IF(BC5&gt;BD5,"0","1")),"")</f>
        <v/>
      </c>
      <c r="BF5" s="18" t="str">
        <f>IF(N13&lt;&gt;0,R13," ")</f>
        <v xml:space="preserve"> </v>
      </c>
      <c r="BG5" s="12" t="str">
        <f>IF(N14&lt;&gt;0,N14," ")</f>
        <v xml:space="preserve"> </v>
      </c>
      <c r="BH5" s="18" t="str">
        <f>IF(N14&lt;&gt;0,P14," ")</f>
        <v xml:space="preserve"> </v>
      </c>
      <c r="BI5" s="19" t="str">
        <f>IF(N14&lt;&gt;0,O14," ")</f>
        <v xml:space="preserve"> </v>
      </c>
      <c r="BJ5" s="16" t="str">
        <f>IF(N14&lt;&gt;0,IF(BH5&lt;BI5,"3",IF(BH5&gt;BI5,"0","1")),"")</f>
        <v/>
      </c>
      <c r="BK5" s="18" t="str">
        <f>IF(N14&lt;&gt;0,R14," ")</f>
        <v xml:space="preserve"> </v>
      </c>
    </row>
    <row r="6" spans="1:63" x14ac:dyDescent="0.25">
      <c r="A6" s="143" t="s">
        <v>302</v>
      </c>
      <c r="B6" s="240">
        <v>4</v>
      </c>
      <c r="C6" s="110" t="s">
        <v>156</v>
      </c>
      <c r="D6" s="220">
        <v>44766</v>
      </c>
      <c r="E6" s="221">
        <v>3</v>
      </c>
      <c r="F6" s="221">
        <v>1</v>
      </c>
      <c r="G6" s="222" t="str">
        <f t="shared" si="0"/>
        <v>0</v>
      </c>
      <c r="H6" s="222">
        <v>4</v>
      </c>
      <c r="I6" s="93"/>
      <c r="J6" s="94"/>
      <c r="K6" s="94"/>
      <c r="L6" s="95" t="str">
        <f t="shared" si="1"/>
        <v/>
      </c>
      <c r="M6" s="95"/>
      <c r="N6" s="220">
        <v>44759</v>
      </c>
      <c r="O6" s="221">
        <v>0</v>
      </c>
      <c r="P6" s="221">
        <v>6</v>
      </c>
      <c r="Q6" s="222" t="str">
        <f t="shared" ref="Q6:Q14" si="2">IF(N6&lt;&gt;0,IF(O6&lt;P6,"3",IF(O6&gt;P6,"0","1")),"")</f>
        <v>3</v>
      </c>
      <c r="R6" s="222">
        <v>2</v>
      </c>
      <c r="S6" s="243" t="s">
        <v>66</v>
      </c>
      <c r="T6" s="243"/>
      <c r="U6" s="243"/>
      <c r="V6" s="243"/>
      <c r="W6" s="243"/>
      <c r="X6" s="12" t="str">
        <f>IF(S7&lt;&gt;0,S7," ")</f>
        <v xml:space="preserve"> </v>
      </c>
      <c r="Y6" s="18" t="str">
        <f>IF(S7&lt;&gt;0,U7," ")</f>
        <v xml:space="preserve"> </v>
      </c>
      <c r="Z6" s="18" t="str">
        <f>IF(S7&lt;&gt;0,T7," ")</f>
        <v xml:space="preserve"> </v>
      </c>
      <c r="AA6" s="16" t="str">
        <f>IF(S7&lt;&gt;0,IF(Y6&lt;Z6,"3",IF(Y6&gt;Z6,"0","1")),"")</f>
        <v/>
      </c>
      <c r="AB6" s="18" t="str">
        <f>IF(S7&lt;&gt;0,W7," ")</f>
        <v xml:space="preserve"> </v>
      </c>
      <c r="AC6" s="12" t="str">
        <f>IF(S8&lt;&gt;0,S8," ")</f>
        <v xml:space="preserve"> </v>
      </c>
      <c r="AD6" s="18" t="str">
        <f>IF(S8&lt;&gt;0,U8," ")</f>
        <v xml:space="preserve"> </v>
      </c>
      <c r="AE6" s="19" t="str">
        <f>IF(S8&lt;&gt;0,T8," ")</f>
        <v xml:space="preserve"> </v>
      </c>
      <c r="AF6" s="16" t="str">
        <f>IF(S8&lt;&gt;0,IF(AD6&lt;AE6,"3",IF(AD6&gt;AE6,"0","1")),"")</f>
        <v/>
      </c>
      <c r="AG6" s="18" t="str">
        <f>IF(S8&lt;&gt;0,W8," ")</f>
        <v xml:space="preserve"> </v>
      </c>
      <c r="AH6" s="12" t="str">
        <f>IF(S9&lt;&gt;0,S9," ")</f>
        <v xml:space="preserve"> </v>
      </c>
      <c r="AI6" s="18" t="str">
        <f>IF(S9&lt;&gt;0,U9," ")</f>
        <v xml:space="preserve"> </v>
      </c>
      <c r="AJ6" s="19" t="str">
        <f>IF(S9&lt;&gt;0,T9," ")</f>
        <v xml:space="preserve"> </v>
      </c>
      <c r="AK6" s="16" t="str">
        <f>IF(S9&lt;&gt;0,IF(AI6&lt;AJ6,"3",IF(AI6&gt;AJ6,"0","1")),"")</f>
        <v/>
      </c>
      <c r="AL6" s="18" t="str">
        <f>IF(S9&lt;&gt;0,W9," ")</f>
        <v xml:space="preserve"> </v>
      </c>
      <c r="AM6" s="12" t="str">
        <f>IF(S10&lt;&gt;0,S10," ")</f>
        <v xml:space="preserve"> </v>
      </c>
      <c r="AN6" s="18" t="str">
        <f>IF(S10&lt;&gt;0,U10," ")</f>
        <v xml:space="preserve"> </v>
      </c>
      <c r="AO6" s="19" t="str">
        <f>IF(S10&lt;&gt;0,T10," ")</f>
        <v xml:space="preserve"> </v>
      </c>
      <c r="AP6" s="16" t="str">
        <f>IF(S10&lt;&gt;0,IF(AN6&lt;AO6,"3",IF(AN6&gt;AO6,"0","1")),"")</f>
        <v/>
      </c>
      <c r="AQ6" s="18" t="str">
        <f>IF(S10&lt;&gt;0,W10," ")</f>
        <v xml:space="preserve"> </v>
      </c>
      <c r="AR6" s="226" t="str">
        <f>IF(S11&lt;&gt;0,S11," ")</f>
        <v xml:space="preserve"> </v>
      </c>
      <c r="AS6" s="227" t="str">
        <f>IF(S11&lt;&gt;0,U11," ")</f>
        <v xml:space="preserve"> </v>
      </c>
      <c r="AT6" s="227" t="str">
        <f>IF(S11&lt;&gt;0,T11," ")</f>
        <v xml:space="preserve"> </v>
      </c>
      <c r="AU6" s="225" t="str">
        <f>IF(S11&lt;&gt;0,IF(AS6&lt;AT6,"3",IF(AS6&gt;AT6,"0","1")),"")</f>
        <v/>
      </c>
      <c r="AV6" s="227" t="str">
        <f>IF(S11&lt;&gt;0,W11," ")</f>
        <v xml:space="preserve"> </v>
      </c>
      <c r="AW6" s="12" t="str">
        <f>IF(S12&lt;&gt;0,S12," ")</f>
        <v xml:space="preserve"> </v>
      </c>
      <c r="AX6" s="18" t="str">
        <f>IF(S12&lt;&gt;0,U12," ")</f>
        <v xml:space="preserve"> </v>
      </c>
      <c r="AY6" s="18" t="str">
        <f>IF(S12&lt;&gt;0,T12," ")</f>
        <v xml:space="preserve"> </v>
      </c>
      <c r="AZ6" s="16" t="str">
        <f>IF(S12&lt;&gt;0,IF(AX6&lt;AY6,"3",IF(AX6&gt;AY6,"0","1")),"")</f>
        <v/>
      </c>
      <c r="BA6" s="18" t="str">
        <f>IF(S12&lt;&gt;0,W12," ")</f>
        <v xml:space="preserve"> </v>
      </c>
      <c r="BB6" s="12" t="str">
        <f>IF(S13&lt;&gt;0,S13," ")</f>
        <v xml:space="preserve"> </v>
      </c>
      <c r="BC6" s="18" t="str">
        <f>IF(S13&lt;&gt;0,U13," ")</f>
        <v xml:space="preserve"> </v>
      </c>
      <c r="BD6" s="19" t="str">
        <f>IF(S13&lt;&gt;0,T13," ")</f>
        <v xml:space="preserve"> </v>
      </c>
      <c r="BE6" s="16" t="str">
        <f>IF(S13&lt;&gt;0,IF(BC6&lt;BD6,"3",IF(BC6&gt;BD6,"0","1")),"")</f>
        <v/>
      </c>
      <c r="BF6" s="18" t="str">
        <f>IF(S13&lt;&gt;0,W13," ")</f>
        <v xml:space="preserve"> </v>
      </c>
      <c r="BG6" s="12" t="str">
        <f>IF(S14&lt;&gt;0,S14," ")</f>
        <v xml:space="preserve"> </v>
      </c>
      <c r="BH6" s="18" t="str">
        <f>IF(S14&lt;&gt;0,U14," ")</f>
        <v xml:space="preserve"> </v>
      </c>
      <c r="BI6" s="19" t="str">
        <f>IF(S14&lt;&gt;0,T14," ")</f>
        <v xml:space="preserve"> </v>
      </c>
      <c r="BJ6" s="16" t="str">
        <f>IF(S14&lt;&gt;0,IF(BH6&lt;BI6,"3",IF(BH6&gt;BI6,"0","1")),"")</f>
        <v/>
      </c>
      <c r="BK6" s="18" t="str">
        <f>IF(S14&lt;&gt;0,W14," ")</f>
        <v xml:space="preserve"> </v>
      </c>
    </row>
    <row r="7" spans="1:63" x14ac:dyDescent="0.25">
      <c r="A7" s="143" t="s">
        <v>235</v>
      </c>
      <c r="B7" s="230">
        <v>5</v>
      </c>
      <c r="C7" s="110" t="s">
        <v>162</v>
      </c>
      <c r="D7" s="93"/>
      <c r="E7" s="94"/>
      <c r="F7" s="94"/>
      <c r="G7" s="95" t="str">
        <f t="shared" si="0"/>
        <v/>
      </c>
      <c r="H7" s="95"/>
      <c r="I7" s="220">
        <v>44759</v>
      </c>
      <c r="J7" s="221">
        <v>2</v>
      </c>
      <c r="K7" s="221">
        <v>1</v>
      </c>
      <c r="L7" s="222" t="str">
        <f t="shared" si="1"/>
        <v>0</v>
      </c>
      <c r="M7" s="222">
        <v>2</v>
      </c>
      <c r="N7" s="93"/>
      <c r="O7" s="94"/>
      <c r="P7" s="94"/>
      <c r="Q7" s="95" t="str">
        <f t="shared" si="2"/>
        <v/>
      </c>
      <c r="R7" s="95"/>
      <c r="S7" s="93"/>
      <c r="T7" s="94"/>
      <c r="U7" s="94"/>
      <c r="V7" s="95" t="str">
        <f>IF(S7&lt;&gt;0,IF(T7&lt;U7,"3",IF(T7&gt;U7,"0","1")),"")</f>
        <v/>
      </c>
      <c r="W7" s="95"/>
      <c r="X7" s="243" t="s">
        <v>66</v>
      </c>
      <c r="Y7" s="243"/>
      <c r="Z7" s="243"/>
      <c r="AA7" s="243"/>
      <c r="AB7" s="243"/>
      <c r="AC7" s="12" t="str">
        <f>IF(X8&lt;&gt;0,X8," ")</f>
        <v xml:space="preserve"> </v>
      </c>
      <c r="AD7" s="18" t="str">
        <f>IF(X8&lt;&gt;0,Z8," ")</f>
        <v xml:space="preserve"> </v>
      </c>
      <c r="AE7" s="19" t="str">
        <f>IF(X8&lt;&gt;0,Y8," ")</f>
        <v xml:space="preserve"> </v>
      </c>
      <c r="AF7" s="16" t="str">
        <f>IF(X8&lt;&gt;0,IF(AD7&lt;AE7,"3",IF(AD7&gt;AE7,"0","1")),"")</f>
        <v/>
      </c>
      <c r="AG7" s="18" t="str">
        <f>IF(X8&lt;&gt;0,AB8," ")</f>
        <v xml:space="preserve"> </v>
      </c>
      <c r="AH7" s="226">
        <f>IF(X9&lt;&gt;0,X9," ")</f>
        <v>44766</v>
      </c>
      <c r="AI7" s="227">
        <f>IF(X9&lt;&gt;0,Z9," ")</f>
        <v>3</v>
      </c>
      <c r="AJ7" s="227">
        <f>IF(X9&lt;&gt;0,Y9," ")</f>
        <v>4</v>
      </c>
      <c r="AK7" s="225" t="str">
        <f>IF(X9&lt;&gt;0,IF(AI7&lt;AJ7,"3",IF(AI7&gt;AJ7,"0","1")),"")</f>
        <v>3</v>
      </c>
      <c r="AL7" s="227">
        <f>IF(X9&lt;&gt;0,AB9," ")</f>
        <v>1</v>
      </c>
      <c r="AM7" s="12" t="str">
        <f>IF(X10&lt;&gt;0,X10," ")</f>
        <v xml:space="preserve"> </v>
      </c>
      <c r="AN7" s="18" t="str">
        <f>IF(X10&lt;&gt;0,Z10," ")</f>
        <v xml:space="preserve"> </v>
      </c>
      <c r="AO7" s="18" t="str">
        <f>IF(X10&lt;&gt;0,Y10," ")</f>
        <v xml:space="preserve"> </v>
      </c>
      <c r="AP7" s="16" t="str">
        <f>IF(X10&lt;&gt;0,IF(AN7&lt;AO7,"3",IF(AN7&gt;AO7,"0","1")),"")</f>
        <v/>
      </c>
      <c r="AQ7" s="18" t="str">
        <f>IF(X10&lt;&gt;0,AB10," ")</f>
        <v xml:space="preserve"> </v>
      </c>
      <c r="AR7" s="12" t="str">
        <f>IF(X11&lt;&gt;0,X11," ")</f>
        <v xml:space="preserve"> </v>
      </c>
      <c r="AS7" s="18" t="str">
        <f>IF(X11&lt;&gt;0,Z11," ")</f>
        <v xml:space="preserve"> </v>
      </c>
      <c r="AT7" s="18" t="str">
        <f>IF(X11&lt;&gt;0,Y11," ")</f>
        <v xml:space="preserve"> </v>
      </c>
      <c r="AU7" s="16" t="str">
        <f>IF(X11&lt;&gt;0,IF(AS7&lt;AT7,"3",IF(AS7&gt;AT7,"0","1")),"")</f>
        <v/>
      </c>
      <c r="AV7" s="18" t="str">
        <f>IF(X11&lt;&gt;0,AB11," ")</f>
        <v xml:space="preserve"> </v>
      </c>
      <c r="AW7" s="12" t="str">
        <f>IF(X12&lt;&gt;0,X12," ")</f>
        <v xml:space="preserve"> </v>
      </c>
      <c r="AX7" s="18" t="str">
        <f>IF(X12&lt;&gt;0,Z12," ")</f>
        <v xml:space="preserve"> </v>
      </c>
      <c r="AY7" s="19" t="str">
        <f>IF(X12&lt;&gt;0,Y12," ")</f>
        <v xml:space="preserve"> </v>
      </c>
      <c r="AZ7" s="16" t="str">
        <f>IF(X12&lt;&gt;0,IF(AX7&lt;AY7,"3",IF(AX7&gt;AY7,"0","1")),"")</f>
        <v/>
      </c>
      <c r="BA7" s="18" t="str">
        <f>IF(X12&lt;&gt;0,AB12," ")</f>
        <v xml:space="preserve"> </v>
      </c>
      <c r="BB7" s="12" t="str">
        <f>IF(X13&lt;&gt;0,X13," ")</f>
        <v xml:space="preserve"> </v>
      </c>
      <c r="BC7" s="18" t="str">
        <f>IF(X13&lt;&gt;0,Z13," ")</f>
        <v xml:space="preserve"> </v>
      </c>
      <c r="BD7" s="18" t="str">
        <f>IF(X13&lt;&gt;0,Y13," ")</f>
        <v xml:space="preserve"> </v>
      </c>
      <c r="BE7" s="16" t="str">
        <f>IF(X13&lt;&gt;0,IF(BC7&lt;BD7,"3",IF(BC7&gt;BD7,"0","1")),"")</f>
        <v/>
      </c>
      <c r="BF7" s="18" t="str">
        <f>IF(X13&lt;&gt;0,AB13," ")</f>
        <v xml:space="preserve"> </v>
      </c>
      <c r="BG7" s="12" t="str">
        <f>IF(X14&lt;&gt;0,X14," ")</f>
        <v xml:space="preserve"> </v>
      </c>
      <c r="BH7" s="18" t="str">
        <f>IF(X14&lt;&gt;0,Z14," ")</f>
        <v xml:space="preserve"> </v>
      </c>
      <c r="BI7" s="19" t="str">
        <f>IF(X14&lt;&gt;0,Y14," ")</f>
        <v xml:space="preserve"> </v>
      </c>
      <c r="BJ7" s="16" t="str">
        <f>IF(X14&lt;&gt;0,IF(BH7&lt;BI7,"3",IF(BH7&gt;BI7,"0","1")),"")</f>
        <v/>
      </c>
      <c r="BK7" s="18" t="str">
        <f>IF(X14&lt;&gt;0,AB14," ")</f>
        <v xml:space="preserve"> </v>
      </c>
    </row>
    <row r="8" spans="1:63" x14ac:dyDescent="0.25">
      <c r="A8" s="143" t="s">
        <v>235</v>
      </c>
      <c r="B8" s="230">
        <v>6</v>
      </c>
      <c r="C8" s="110" t="s">
        <v>219</v>
      </c>
      <c r="D8" s="93"/>
      <c r="E8" s="94"/>
      <c r="F8" s="94"/>
      <c r="G8" s="95" t="str">
        <f t="shared" si="0"/>
        <v/>
      </c>
      <c r="H8" s="95"/>
      <c r="I8" s="93"/>
      <c r="J8" s="94"/>
      <c r="K8" s="94"/>
      <c r="L8" s="95" t="str">
        <f t="shared" si="1"/>
        <v/>
      </c>
      <c r="M8" s="95"/>
      <c r="N8" s="93"/>
      <c r="O8" s="94"/>
      <c r="P8" s="94"/>
      <c r="Q8" s="95" t="str">
        <f t="shared" si="2"/>
        <v/>
      </c>
      <c r="R8" s="95"/>
      <c r="S8" s="93"/>
      <c r="T8" s="94"/>
      <c r="U8" s="94"/>
      <c r="V8" s="95" t="str">
        <f t="shared" ref="V8:V14" si="3">IF(S8&lt;&gt;0,IF(T8&lt;U8,"3",IF(T8&gt;U8,"0","1")),"")</f>
        <v/>
      </c>
      <c r="W8" s="95"/>
      <c r="X8" s="93"/>
      <c r="Y8" s="94"/>
      <c r="Z8" s="94"/>
      <c r="AA8" s="95" t="str">
        <f>IF(X8&lt;&gt;0,IF(Y8&lt;Z8,"3",IF(Y8&gt;Z8,"0","1")),"")</f>
        <v/>
      </c>
      <c r="AB8" s="95"/>
      <c r="AC8" s="243" t="s">
        <v>66</v>
      </c>
      <c r="AD8" s="243"/>
      <c r="AE8" s="243"/>
      <c r="AF8" s="243"/>
      <c r="AG8" s="243"/>
      <c r="AH8" s="12" t="str">
        <f>IF(AC9&lt;&gt;0,AC9," ")</f>
        <v xml:space="preserve"> </v>
      </c>
      <c r="AI8" s="18" t="str">
        <f>IF(AC9&lt;&gt;0,AE9," ")</f>
        <v xml:space="preserve"> </v>
      </c>
      <c r="AJ8" s="19" t="str">
        <f>IF(AC9&lt;&gt;0,AD9," ")</f>
        <v xml:space="preserve"> </v>
      </c>
      <c r="AK8" s="16" t="str">
        <f>IF(AC9&lt;&gt;0,IF(AI8&lt;AJ8,"3",IF(AI8&gt;AJ8,"0","1")),"")</f>
        <v/>
      </c>
      <c r="AL8" s="18" t="str">
        <f>IF(AC9&lt;&gt;0,AG9," ")</f>
        <v xml:space="preserve"> </v>
      </c>
      <c r="AM8" s="12" t="str">
        <f>IF(AC10&lt;&gt;0,AC10," ")</f>
        <v xml:space="preserve"> </v>
      </c>
      <c r="AN8" s="18" t="str">
        <f>IF(AC10&lt;&gt;0,AE10," ")</f>
        <v xml:space="preserve"> </v>
      </c>
      <c r="AO8" s="19" t="str">
        <f>IF(AC10&lt;&gt;0,AD10," ")</f>
        <v xml:space="preserve"> </v>
      </c>
      <c r="AP8" s="16" t="str">
        <f>IF(AC10&lt;&gt;0,IF(AN8&lt;AO8,"3",IF(AN8&gt;AO8,"0","1")),"")</f>
        <v/>
      </c>
      <c r="AQ8" s="18" t="str">
        <f>IF(AC10&lt;&gt;0,AG10," ")</f>
        <v xml:space="preserve"> </v>
      </c>
      <c r="AR8" s="12" t="str">
        <f>IF(AC11&lt;&gt;0,AC11," ")</f>
        <v xml:space="preserve"> </v>
      </c>
      <c r="AS8" s="18" t="str">
        <f>IF(AC11&lt;&gt;0,AE11," ")</f>
        <v xml:space="preserve"> </v>
      </c>
      <c r="AT8" s="18" t="str">
        <f>IF(AC11&lt;&gt;0,AD11," ")</f>
        <v xml:space="preserve"> </v>
      </c>
      <c r="AU8" s="16" t="str">
        <f>IF(AC11&lt;&gt;0,IF(AS8&lt;AT8,"3",IF(AS8&gt;AT8,"0","1")),"")</f>
        <v/>
      </c>
      <c r="AV8" s="19" t="str">
        <f>IF(AC11&lt;&gt;0,AG11," ")</f>
        <v xml:space="preserve"> </v>
      </c>
      <c r="AW8" s="12" t="str">
        <f>IF(AC12&lt;&gt;0,AC12," ")</f>
        <v xml:space="preserve"> </v>
      </c>
      <c r="AX8" s="18" t="str">
        <f>IF(AC12&lt;&gt;0,AE12," ")</f>
        <v xml:space="preserve"> </v>
      </c>
      <c r="AY8" s="19" t="str">
        <f>IF(AC12&lt;&gt;0,AD12," ")</f>
        <v xml:space="preserve"> </v>
      </c>
      <c r="AZ8" s="16" t="str">
        <f>IF(AC12&lt;&gt;0,IF(AX8&lt;AY8,"3",IF(AX8&gt;AY8,"0","1")),"")</f>
        <v/>
      </c>
      <c r="BA8" s="19" t="str">
        <f>IF(AC12&lt;&gt;0,AG12," ")</f>
        <v xml:space="preserve"> </v>
      </c>
      <c r="BB8" s="12" t="str">
        <f>IF(AC13&lt;&gt;0,AC13," ")</f>
        <v xml:space="preserve"> </v>
      </c>
      <c r="BC8" s="18" t="str">
        <f>IF(AC13&lt;&gt;0,AE13," ")</f>
        <v xml:space="preserve"> </v>
      </c>
      <c r="BD8" s="18" t="str">
        <f>IF(AC13&lt;&gt;0,AD13," ")</f>
        <v xml:space="preserve"> </v>
      </c>
      <c r="BE8" s="16" t="str">
        <f>IF(AC13&lt;&gt;0,IF(BC8&lt;BD8,"3",IF(BC8&gt;BD8,"0","1")),"")</f>
        <v/>
      </c>
      <c r="BF8" s="18" t="str">
        <f>IF(AC13&lt;&gt;0,AG13," ")</f>
        <v xml:space="preserve"> </v>
      </c>
      <c r="BG8" s="12" t="str">
        <f>IF(AC14&lt;&gt;0,AC14," ")</f>
        <v xml:space="preserve"> </v>
      </c>
      <c r="BH8" s="18" t="str">
        <f>IF(AC14&lt;&gt;0,AE14," ")</f>
        <v xml:space="preserve"> </v>
      </c>
      <c r="BI8" s="18" t="str">
        <f>IF(AC14&lt;&gt;0,AD14," ")</f>
        <v xml:space="preserve"> </v>
      </c>
      <c r="BJ8" s="16" t="str">
        <f>IF(AC14&lt;&gt;0,IF(BH8&lt;BI8,"3",IF(BH8&gt;BI8,"0","1")),"")</f>
        <v/>
      </c>
      <c r="BK8" s="18" t="str">
        <f>IF(AC14&lt;&gt;0,AG14," ")</f>
        <v xml:space="preserve"> </v>
      </c>
    </row>
    <row r="9" spans="1:63" x14ac:dyDescent="0.25">
      <c r="A9" s="143" t="s">
        <v>235</v>
      </c>
      <c r="B9" s="230">
        <v>7</v>
      </c>
      <c r="C9" s="110" t="s">
        <v>237</v>
      </c>
      <c r="D9" s="93"/>
      <c r="E9" s="94"/>
      <c r="F9" s="94"/>
      <c r="G9" s="95" t="str">
        <f t="shared" si="0"/>
        <v/>
      </c>
      <c r="H9" s="95"/>
      <c r="I9" s="93"/>
      <c r="J9" s="94"/>
      <c r="K9" s="94"/>
      <c r="L9" s="95" t="str">
        <f t="shared" si="1"/>
        <v/>
      </c>
      <c r="M9" s="95"/>
      <c r="N9" s="93"/>
      <c r="O9" s="94"/>
      <c r="P9" s="94"/>
      <c r="Q9" s="95" t="str">
        <f t="shared" si="2"/>
        <v/>
      </c>
      <c r="R9" s="95"/>
      <c r="S9" s="93"/>
      <c r="T9" s="94"/>
      <c r="U9" s="94"/>
      <c r="V9" s="95" t="str">
        <f t="shared" si="3"/>
        <v/>
      </c>
      <c r="W9" s="95"/>
      <c r="X9" s="220">
        <v>44766</v>
      </c>
      <c r="Y9" s="221">
        <v>4</v>
      </c>
      <c r="Z9" s="221">
        <v>3</v>
      </c>
      <c r="AA9" s="222" t="str">
        <f t="shared" ref="AA9:AA14" si="4">IF(X9&lt;&gt;0,IF(Y9&lt;Z9,"3",IF(Y9&gt;Z9,"0","1")),"")</f>
        <v>0</v>
      </c>
      <c r="AB9" s="222">
        <v>1</v>
      </c>
      <c r="AC9" s="93"/>
      <c r="AD9" s="94"/>
      <c r="AE9" s="94"/>
      <c r="AF9" s="95" t="str">
        <f>IF(AC9&lt;&gt;0,IF(AD9&lt;AE9,"3",IF(AD9&gt;AE9,"0","1")),"")</f>
        <v/>
      </c>
      <c r="AG9" s="95"/>
      <c r="AH9" s="243" t="s">
        <v>66</v>
      </c>
      <c r="AI9" s="243"/>
      <c r="AJ9" s="243"/>
      <c r="AK9" s="243"/>
      <c r="AL9" s="243"/>
      <c r="AM9" s="12" t="str">
        <f>IF(AH10&lt;&gt;0,AH10," ")</f>
        <v xml:space="preserve"> </v>
      </c>
      <c r="AN9" s="18" t="str">
        <f>IF(AH10&lt;&gt;0,AJ10," ")</f>
        <v xml:space="preserve"> </v>
      </c>
      <c r="AO9" s="19" t="str">
        <f>IF(AH10&lt;&gt;0,AI10," ")</f>
        <v xml:space="preserve"> </v>
      </c>
      <c r="AP9" s="16" t="str">
        <f>IF(AH10&lt;&gt;0,IF(AN9&lt;AO9,"3",IF(AN9&gt;AO9,"0","1")),"")</f>
        <v/>
      </c>
      <c r="AQ9" s="18" t="str">
        <f>IF(AH10&lt;&gt;0,AL10," ")</f>
        <v xml:space="preserve"> </v>
      </c>
      <c r="AR9" s="12" t="str">
        <f>IF(AH11&lt;&gt;0,AH11," ")</f>
        <v xml:space="preserve"> </v>
      </c>
      <c r="AS9" s="18" t="str">
        <f>IF(AH11&lt;&gt;0,AJ11," ")</f>
        <v xml:space="preserve"> </v>
      </c>
      <c r="AT9" s="19" t="str">
        <f>IF(AH11&lt;&gt;0,AI11," ")</f>
        <v xml:space="preserve"> </v>
      </c>
      <c r="AU9" s="16" t="str">
        <f>IF(AH11&lt;&gt;0,IF(AS9&lt;AT9,"3",IF(AS9&gt;AT9,"0","1")),"")</f>
        <v/>
      </c>
      <c r="AV9" s="18" t="str">
        <f>IF(AH11&lt;&gt;0,AL11," ")</f>
        <v xml:space="preserve"> </v>
      </c>
      <c r="AW9" s="12" t="str">
        <f>IF(AH12&lt;&gt;0,AH12," ")</f>
        <v xml:space="preserve"> </v>
      </c>
      <c r="AX9" s="18" t="str">
        <f>IF(AH12&lt;&gt;0,AJ12," ")</f>
        <v xml:space="preserve"> </v>
      </c>
      <c r="AY9" s="18" t="str">
        <f>IF(AH12&lt;&gt;0,AI12," ")</f>
        <v xml:space="preserve"> </v>
      </c>
      <c r="AZ9" s="16" t="str">
        <f>IF(AH12&lt;&gt;0,IF(AX9&lt;AY9,"3",IF(AX9&gt;AY9,"0","1")),"")</f>
        <v/>
      </c>
      <c r="BA9" s="18" t="str">
        <f>IF(AH12&lt;&gt;0,AL12," ")</f>
        <v xml:space="preserve"> </v>
      </c>
      <c r="BB9" s="12" t="str">
        <f>IF(AH13&lt;&gt;0,AH13," ")</f>
        <v xml:space="preserve"> </v>
      </c>
      <c r="BC9" s="18" t="str">
        <f>IF(AH13&lt;&gt;0,AJ13," ")</f>
        <v xml:space="preserve"> </v>
      </c>
      <c r="BD9" s="19" t="str">
        <f>IF(AH13&lt;&gt;0,AI13," ")</f>
        <v xml:space="preserve"> </v>
      </c>
      <c r="BE9" s="16" t="str">
        <f>IF(AH13&lt;&gt;0,IF(BC9&lt;BD9,"3",IF(BC9&gt;BD9,"0","1")),"")</f>
        <v/>
      </c>
      <c r="BF9" s="18" t="str">
        <f>IF(AH13&lt;&gt;0,AL13," ")</f>
        <v xml:space="preserve"> </v>
      </c>
      <c r="BG9" s="12" t="str">
        <f>IF(AH14&lt;&gt;0,AH14," ")</f>
        <v xml:space="preserve"> </v>
      </c>
      <c r="BH9" s="18" t="str">
        <f>IF(AH14&lt;&gt;0,AJ14," ")</f>
        <v xml:space="preserve"> </v>
      </c>
      <c r="BI9" s="18" t="str">
        <f>IF(AH14&lt;&gt;0,AI14," ")</f>
        <v xml:space="preserve"> </v>
      </c>
      <c r="BJ9" s="16" t="str">
        <f>IF(AH14&lt;&gt;0,IF(BH9&lt;BI9,"3",IF(BH9&gt;BI9,"0","1")),"")</f>
        <v/>
      </c>
      <c r="BK9" s="18" t="str">
        <f>IF(AH14&lt;&gt;0,AL14," ")</f>
        <v xml:space="preserve"> </v>
      </c>
    </row>
    <row r="10" spans="1:63" x14ac:dyDescent="0.25">
      <c r="A10" s="143"/>
      <c r="B10" s="192">
        <v>8</v>
      </c>
      <c r="C10" s="110" t="s">
        <v>313</v>
      </c>
      <c r="D10" s="93"/>
      <c r="E10" s="94"/>
      <c r="F10" s="94"/>
      <c r="G10" s="95" t="str">
        <f t="shared" si="0"/>
        <v/>
      </c>
      <c r="H10" s="95"/>
      <c r="I10" s="93"/>
      <c r="J10" s="94"/>
      <c r="K10" s="94"/>
      <c r="L10" s="95" t="str">
        <f t="shared" si="1"/>
        <v/>
      </c>
      <c r="M10" s="95"/>
      <c r="N10" s="93"/>
      <c r="O10" s="94"/>
      <c r="P10" s="94"/>
      <c r="Q10" s="95" t="str">
        <f t="shared" si="2"/>
        <v/>
      </c>
      <c r="R10" s="95"/>
      <c r="S10" s="93"/>
      <c r="T10" s="94"/>
      <c r="U10" s="94"/>
      <c r="V10" s="95" t="str">
        <f t="shared" si="3"/>
        <v/>
      </c>
      <c r="W10" s="95"/>
      <c r="X10" s="93"/>
      <c r="Y10" s="94"/>
      <c r="Z10" s="94"/>
      <c r="AA10" s="95" t="str">
        <f t="shared" si="4"/>
        <v/>
      </c>
      <c r="AB10" s="95"/>
      <c r="AC10" s="93"/>
      <c r="AD10" s="94"/>
      <c r="AE10" s="94"/>
      <c r="AF10" s="95" t="str">
        <f t="shared" ref="AF10:AF14" si="5">IF(AC10&lt;&gt;0,IF(AD10&lt;AE10,"3",IF(AD10&gt;AE10,"0","1")),"")</f>
        <v/>
      </c>
      <c r="AG10" s="95"/>
      <c r="AH10" s="93"/>
      <c r="AI10" s="94"/>
      <c r="AJ10" s="94"/>
      <c r="AK10" s="95" t="str">
        <f>IF(AH10&lt;&gt;0,IF(AI10&lt;AJ10,"3",IF(AI10&gt;AJ10,"0","1")),"")</f>
        <v/>
      </c>
      <c r="AL10" s="95"/>
      <c r="AM10" s="243" t="s">
        <v>66</v>
      </c>
      <c r="AN10" s="243"/>
      <c r="AO10" s="243"/>
      <c r="AP10" s="243"/>
      <c r="AQ10" s="243"/>
      <c r="AR10" s="12" t="str">
        <f>IF(AM11&lt;&gt;0,AM11," ")</f>
        <v xml:space="preserve"> </v>
      </c>
      <c r="AS10" s="18" t="str">
        <f>IF(AM11&lt;&gt;0,AO11," ")</f>
        <v xml:space="preserve"> </v>
      </c>
      <c r="AT10" s="19" t="str">
        <f>IF(AM11&lt;&gt;0,AN11," ")</f>
        <v xml:space="preserve"> </v>
      </c>
      <c r="AU10" s="16" t="str">
        <f>IF(AM11&lt;&gt;0,IF(AS10&lt;AT10,"3",IF(AS10&gt;AT10,"0","1")),"")</f>
        <v/>
      </c>
      <c r="AV10" s="18" t="str">
        <f>IF(AM11&lt;&gt;0,AQ11," ")</f>
        <v xml:space="preserve"> </v>
      </c>
      <c r="AW10" s="12" t="str">
        <f>IF(AM12&lt;&gt;0,AM12," ")</f>
        <v xml:space="preserve"> </v>
      </c>
      <c r="AX10" s="18" t="str">
        <f>IF(AM12&lt;&gt;0,AO12," ")</f>
        <v xml:space="preserve"> </v>
      </c>
      <c r="AY10" s="18" t="str">
        <f>IF(AM12&lt;&gt;0,AN12," ")</f>
        <v xml:space="preserve"> </v>
      </c>
      <c r="AZ10" s="16" t="str">
        <f>IF(AM12&lt;&gt;0,IF(AX10&lt;AY10,"3",IF(AX10&gt;AY10,"0","1")),"")</f>
        <v/>
      </c>
      <c r="BA10" s="18" t="str">
        <f>IF(AM12&lt;&gt;0,AQ12," ")</f>
        <v xml:space="preserve"> </v>
      </c>
      <c r="BB10" s="12" t="str">
        <f>IF(AM13&lt;&gt;0,AM13," ")</f>
        <v xml:space="preserve"> </v>
      </c>
      <c r="BC10" s="18" t="str">
        <f>IF(AM13&lt;&gt;0,AO13," ")</f>
        <v xml:space="preserve"> </v>
      </c>
      <c r="BD10" s="19" t="str">
        <f>IF(AM13&lt;&gt;0,AN13," ")</f>
        <v xml:space="preserve"> </v>
      </c>
      <c r="BE10" s="16" t="str">
        <f>IF(AM13&lt;&gt;0,IF(BC10&lt;BD10,"3",IF(BC10&gt;BD10,"0","1")),"")</f>
        <v/>
      </c>
      <c r="BF10" s="18" t="str">
        <f>IF(AM13&lt;&gt;0,AQ13," ")</f>
        <v xml:space="preserve"> </v>
      </c>
      <c r="BG10" s="12" t="str">
        <f>IF(AM14&lt;&gt;0,AM14," ")</f>
        <v xml:space="preserve"> </v>
      </c>
      <c r="BH10" s="18" t="str">
        <f>IF(AM14&lt;&gt;0,AO14," ")</f>
        <v xml:space="preserve"> </v>
      </c>
      <c r="BI10" s="19" t="str">
        <f>IF(AM14&lt;&gt;0,AN14," ")</f>
        <v xml:space="preserve"> </v>
      </c>
      <c r="BJ10" s="16" t="str">
        <f>IF(AM14&lt;&gt;0,IF(BH10&lt;BI10,"3",IF(BH10&gt;BI10,"0","1")),"")</f>
        <v/>
      </c>
      <c r="BK10" s="18" t="str">
        <f>IF(AM14&lt;&gt;0,AQ14," ")</f>
        <v xml:space="preserve"> </v>
      </c>
    </row>
    <row r="11" spans="1:63" x14ac:dyDescent="0.25">
      <c r="A11" s="143" t="s">
        <v>304</v>
      </c>
      <c r="B11" s="240">
        <v>9</v>
      </c>
      <c r="C11" s="110" t="s">
        <v>295</v>
      </c>
      <c r="D11" s="93"/>
      <c r="E11" s="94"/>
      <c r="F11" s="94"/>
      <c r="G11" s="95" t="str">
        <f t="shared" si="0"/>
        <v/>
      </c>
      <c r="H11" s="95"/>
      <c r="I11" s="93"/>
      <c r="J11" s="94"/>
      <c r="K11" s="94"/>
      <c r="L11" s="95" t="str">
        <f t="shared" si="1"/>
        <v/>
      </c>
      <c r="M11" s="95"/>
      <c r="N11" s="93"/>
      <c r="O11" s="94"/>
      <c r="P11" s="94"/>
      <c r="Q11" s="95" t="str">
        <f t="shared" si="2"/>
        <v/>
      </c>
      <c r="R11" s="95"/>
      <c r="S11" s="220"/>
      <c r="T11" s="221"/>
      <c r="U11" s="221"/>
      <c r="V11" s="222" t="str">
        <f t="shared" si="3"/>
        <v/>
      </c>
      <c r="W11" s="222"/>
      <c r="X11" s="93"/>
      <c r="Y11" s="94"/>
      <c r="Z11" s="94"/>
      <c r="AA11" s="95" t="str">
        <f t="shared" si="4"/>
        <v/>
      </c>
      <c r="AB11" s="95"/>
      <c r="AC11" s="93"/>
      <c r="AD11" s="94"/>
      <c r="AE11" s="94"/>
      <c r="AF11" s="95" t="str">
        <f t="shared" si="5"/>
        <v/>
      </c>
      <c r="AG11" s="95"/>
      <c r="AH11" s="93"/>
      <c r="AI11" s="94"/>
      <c r="AJ11" s="94"/>
      <c r="AK11" s="95" t="str">
        <f t="shared" ref="AK11:AK14" si="6">IF(AH11&lt;&gt;0,IF(AI11&lt;AJ11,"3",IF(AI11&gt;AJ11,"0","1")),"")</f>
        <v/>
      </c>
      <c r="AL11" s="95"/>
      <c r="AM11" s="93"/>
      <c r="AN11" s="94"/>
      <c r="AO11" s="94"/>
      <c r="AP11" s="95" t="str">
        <f>IF(AM11&lt;&gt;0,IF(AN11&lt;AO11,"3",IF(AN11&gt;AO11,"0","1")),"")</f>
        <v/>
      </c>
      <c r="AQ11" s="95"/>
      <c r="AR11" s="243" t="s">
        <v>66</v>
      </c>
      <c r="AS11" s="243"/>
      <c r="AT11" s="243"/>
      <c r="AU11" s="243"/>
      <c r="AV11" s="243"/>
      <c r="AW11" s="12" t="str">
        <f>IF(AR12&lt;&gt;0,AR12," ")</f>
        <v xml:space="preserve"> </v>
      </c>
      <c r="AX11" s="18" t="str">
        <f>IF(AR12&lt;&gt;0,AT12," ")</f>
        <v xml:space="preserve"> </v>
      </c>
      <c r="AY11" s="19" t="str">
        <f>IF(AR12&lt;&gt;0,AS12," ")</f>
        <v xml:space="preserve"> </v>
      </c>
      <c r="AZ11" s="16" t="str">
        <f>IF(AR12&lt;&gt;0,IF(AX11&lt;AY11,"3",IF(AX11&gt;AY11,"0","1")),"")</f>
        <v/>
      </c>
      <c r="BA11" s="18" t="str">
        <f>IF(AR12&lt;&gt;0,AV12," ")</f>
        <v xml:space="preserve"> </v>
      </c>
      <c r="BB11" s="12" t="str">
        <f>IF(AR13&lt;&gt;0,AR13," ")</f>
        <v xml:space="preserve"> </v>
      </c>
      <c r="BC11" s="18" t="str">
        <f>IF(AR13&lt;&gt;0,AT13," ")</f>
        <v xml:space="preserve"> </v>
      </c>
      <c r="BD11" s="18" t="str">
        <f>IF(AR13&lt;&gt;0,AS13," ")</f>
        <v xml:space="preserve"> </v>
      </c>
      <c r="BE11" s="16" t="str">
        <f>IF(AR13&lt;&gt;0,IF(BC11&lt;BD11,"3",IF(BC11&gt;BD11,"0","1")),"")</f>
        <v/>
      </c>
      <c r="BF11" s="18" t="str">
        <f>IF(AR13&lt;&gt;0,AV13," ")</f>
        <v xml:space="preserve"> </v>
      </c>
      <c r="BG11" s="12" t="str">
        <f>IF(AR14&lt;&gt;0,AR14," ")</f>
        <v xml:space="preserve"> </v>
      </c>
      <c r="BH11" s="18" t="str">
        <f>IF(AR14&lt;&gt;0,AT14," ")</f>
        <v xml:space="preserve"> </v>
      </c>
      <c r="BI11" s="19" t="str">
        <f>IF(AR14&lt;&gt;0,AS14," ")</f>
        <v xml:space="preserve"> </v>
      </c>
      <c r="BJ11" s="16" t="str">
        <f>IF(AR14&lt;&gt;0,IF(BH11&lt;BI11,"3",IF(BH11&gt;BI11,"0","1")),"")</f>
        <v/>
      </c>
      <c r="BK11" s="18" t="str">
        <f>IF(AR14&lt;&gt;0,AV14," ")</f>
        <v xml:space="preserve"> </v>
      </c>
    </row>
    <row r="12" spans="1:63" x14ac:dyDescent="0.25">
      <c r="A12" s="143"/>
      <c r="B12" s="192">
        <v>10</v>
      </c>
      <c r="C12" s="110"/>
      <c r="D12" s="93"/>
      <c r="E12" s="94"/>
      <c r="F12" s="94"/>
      <c r="G12" s="95" t="str">
        <f t="shared" si="0"/>
        <v/>
      </c>
      <c r="H12" s="95"/>
      <c r="I12" s="93"/>
      <c r="J12" s="94"/>
      <c r="K12" s="94"/>
      <c r="L12" s="95" t="str">
        <f t="shared" si="1"/>
        <v/>
      </c>
      <c r="M12" s="95"/>
      <c r="N12" s="93"/>
      <c r="O12" s="94"/>
      <c r="P12" s="94"/>
      <c r="Q12" s="95" t="str">
        <f t="shared" si="2"/>
        <v/>
      </c>
      <c r="R12" s="95"/>
      <c r="S12" s="93"/>
      <c r="T12" s="94"/>
      <c r="U12" s="94"/>
      <c r="V12" s="95" t="str">
        <f t="shared" si="3"/>
        <v/>
      </c>
      <c r="W12" s="95"/>
      <c r="X12" s="93"/>
      <c r="Y12" s="94"/>
      <c r="Z12" s="94"/>
      <c r="AA12" s="95" t="str">
        <f t="shared" si="4"/>
        <v/>
      </c>
      <c r="AB12" s="95"/>
      <c r="AC12" s="93"/>
      <c r="AD12" s="94"/>
      <c r="AE12" s="94"/>
      <c r="AF12" s="95" t="str">
        <f t="shared" si="5"/>
        <v/>
      </c>
      <c r="AG12" s="95"/>
      <c r="AH12" s="93"/>
      <c r="AI12" s="94"/>
      <c r="AJ12" s="94"/>
      <c r="AK12" s="95" t="str">
        <f t="shared" si="6"/>
        <v/>
      </c>
      <c r="AL12" s="95"/>
      <c r="AM12" s="93"/>
      <c r="AN12" s="94"/>
      <c r="AO12" s="94"/>
      <c r="AP12" s="95" t="str">
        <f t="shared" ref="AP12:AP14" si="7">IF(AM12&lt;&gt;0,IF(AN12&lt;AO12,"3",IF(AN12&gt;AO12,"0","1")),"")</f>
        <v/>
      </c>
      <c r="AQ12" s="95"/>
      <c r="AR12" s="93"/>
      <c r="AS12" s="94"/>
      <c r="AT12" s="94"/>
      <c r="AU12" s="95" t="str">
        <f>IF(AR12&lt;&gt;0,IF(AS12&lt;AT12,"3",IF(AS12&gt;AT12,"0","1")),"")</f>
        <v/>
      </c>
      <c r="AV12" s="95"/>
      <c r="AW12" s="243" t="s">
        <v>66</v>
      </c>
      <c r="AX12" s="243"/>
      <c r="AY12" s="243"/>
      <c r="AZ12" s="243"/>
      <c r="BA12" s="243"/>
      <c r="BB12" s="12" t="str">
        <f>IF(AW13&lt;&gt;0,AW13," ")</f>
        <v xml:space="preserve"> </v>
      </c>
      <c r="BC12" s="18" t="str">
        <f>IF(AW13&lt;&gt;0,AY13," ")</f>
        <v xml:space="preserve"> </v>
      </c>
      <c r="BD12" s="19" t="str">
        <f>IF(AW13&lt;&gt;0,AX13," ")</f>
        <v xml:space="preserve"> </v>
      </c>
      <c r="BE12" s="16" t="str">
        <f>IF(AW13&lt;&gt;0,IF(BC12&lt;BD12,"3",IF(BC12&gt;BD12,"0","1")),"")</f>
        <v/>
      </c>
      <c r="BF12" s="18" t="str">
        <f>IF(AW13&lt;&gt;0,BA13," ")</f>
        <v xml:space="preserve"> </v>
      </c>
      <c r="BG12" s="12" t="str">
        <f>IF(AW14&lt;&gt;0,AW14," ")</f>
        <v xml:space="preserve"> </v>
      </c>
      <c r="BH12" s="18" t="str">
        <f>IF(AW14&lt;&gt;0,AY14," ")</f>
        <v xml:space="preserve"> </v>
      </c>
      <c r="BI12" s="18" t="str">
        <f>IF(AW14&lt;&gt;0,AX14," ")</f>
        <v xml:space="preserve"> </v>
      </c>
      <c r="BJ12" s="16" t="str">
        <f>IF(AW14&lt;&gt;0,IF(BH12&lt;BI12,"3",IF(BH12&gt;BI12,"0","1")),"")</f>
        <v/>
      </c>
      <c r="BK12" s="18" t="str">
        <f>IF(AW14&lt;&gt;0,BA14," ")</f>
        <v xml:space="preserve"> </v>
      </c>
    </row>
    <row r="13" spans="1:63" x14ac:dyDescent="0.25">
      <c r="A13" s="143"/>
      <c r="B13" s="192">
        <v>11</v>
      </c>
      <c r="C13" s="110"/>
      <c r="D13" s="93"/>
      <c r="E13" s="94"/>
      <c r="F13" s="94"/>
      <c r="G13" s="95" t="str">
        <f t="shared" si="0"/>
        <v/>
      </c>
      <c r="H13" s="95"/>
      <c r="I13" s="93"/>
      <c r="J13" s="94"/>
      <c r="K13" s="94"/>
      <c r="L13" s="95" t="str">
        <f t="shared" si="1"/>
        <v/>
      </c>
      <c r="M13" s="95"/>
      <c r="N13" s="93"/>
      <c r="O13" s="94"/>
      <c r="P13" s="94"/>
      <c r="Q13" s="95" t="str">
        <f t="shared" si="2"/>
        <v/>
      </c>
      <c r="R13" s="95"/>
      <c r="S13" s="93"/>
      <c r="T13" s="94"/>
      <c r="U13" s="94"/>
      <c r="V13" s="95" t="str">
        <f t="shared" si="3"/>
        <v/>
      </c>
      <c r="W13" s="95"/>
      <c r="X13" s="93"/>
      <c r="Y13" s="94"/>
      <c r="Z13" s="94"/>
      <c r="AA13" s="95" t="str">
        <f t="shared" si="4"/>
        <v/>
      </c>
      <c r="AB13" s="95"/>
      <c r="AC13" s="93"/>
      <c r="AD13" s="94"/>
      <c r="AE13" s="94"/>
      <c r="AF13" s="95" t="str">
        <f t="shared" si="5"/>
        <v/>
      </c>
      <c r="AG13" s="95"/>
      <c r="AH13" s="93"/>
      <c r="AI13" s="94"/>
      <c r="AJ13" s="94"/>
      <c r="AK13" s="95" t="str">
        <f t="shared" si="6"/>
        <v/>
      </c>
      <c r="AL13" s="95"/>
      <c r="AM13" s="93"/>
      <c r="AN13" s="94"/>
      <c r="AO13" s="94"/>
      <c r="AP13" s="95" t="str">
        <f t="shared" si="7"/>
        <v/>
      </c>
      <c r="AQ13" s="95"/>
      <c r="AR13" s="93"/>
      <c r="AS13" s="94"/>
      <c r="AT13" s="94"/>
      <c r="AU13" s="95" t="str">
        <f t="shared" ref="AU13:AU14" si="8">IF(AR13&lt;&gt;0,IF(AS13&lt;AT13,"3",IF(AS13&gt;AT13,"0","1")),"")</f>
        <v/>
      </c>
      <c r="AV13" s="95"/>
      <c r="AW13" s="93"/>
      <c r="AX13" s="94"/>
      <c r="AY13" s="94"/>
      <c r="AZ13" s="95" t="str">
        <f>IF(AW13&lt;&gt;0,IF(AX13&lt;AY13,"3",IF(AX13&gt;AY13,"0","1")),"")</f>
        <v/>
      </c>
      <c r="BA13" s="95"/>
      <c r="BB13" s="243" t="s">
        <v>66</v>
      </c>
      <c r="BC13" s="243"/>
      <c r="BD13" s="243"/>
      <c r="BE13" s="243"/>
      <c r="BF13" s="243"/>
      <c r="BG13" s="12" t="str">
        <f>IF(BB14&lt;&gt;0,BB14," ")</f>
        <v xml:space="preserve"> </v>
      </c>
      <c r="BH13" s="18" t="str">
        <f>IF(BB14&lt;&gt;0,BD14," ")</f>
        <v xml:space="preserve"> </v>
      </c>
      <c r="BI13" s="19" t="str">
        <f>IF(BB14&lt;&gt;0,BC14," ")</f>
        <v xml:space="preserve"> </v>
      </c>
      <c r="BJ13" s="16" t="str">
        <f>IF(BB14&lt;&gt;0,IF(BH13&lt;BI13,"3",IF(BH13&gt;BI13,"0","1")),"")</f>
        <v/>
      </c>
      <c r="BK13" s="18" t="str">
        <f>IF(BB14&lt;&gt;0,BF14," ")</f>
        <v xml:space="preserve"> </v>
      </c>
    </row>
    <row r="14" spans="1:63" x14ac:dyDescent="0.25">
      <c r="A14" s="143"/>
      <c r="B14" s="192">
        <v>12</v>
      </c>
      <c r="C14" s="110"/>
      <c r="D14" s="93"/>
      <c r="E14" s="94"/>
      <c r="F14" s="94"/>
      <c r="G14" s="95" t="str">
        <f t="shared" si="0"/>
        <v/>
      </c>
      <c r="H14" s="95"/>
      <c r="I14" s="93"/>
      <c r="J14" s="94"/>
      <c r="K14" s="94"/>
      <c r="L14" s="95" t="str">
        <f t="shared" si="1"/>
        <v/>
      </c>
      <c r="M14" s="95"/>
      <c r="N14" s="93"/>
      <c r="O14" s="94"/>
      <c r="P14" s="94"/>
      <c r="Q14" s="95" t="str">
        <f t="shared" si="2"/>
        <v/>
      </c>
      <c r="R14" s="95"/>
      <c r="S14" s="93"/>
      <c r="T14" s="94"/>
      <c r="U14" s="94"/>
      <c r="V14" s="95" t="str">
        <f t="shared" si="3"/>
        <v/>
      </c>
      <c r="W14" s="95"/>
      <c r="X14" s="93"/>
      <c r="Y14" s="94"/>
      <c r="Z14" s="94"/>
      <c r="AA14" s="95" t="str">
        <f t="shared" si="4"/>
        <v/>
      </c>
      <c r="AB14" s="95"/>
      <c r="AC14" s="93"/>
      <c r="AD14" s="94"/>
      <c r="AE14" s="94"/>
      <c r="AF14" s="95" t="str">
        <f t="shared" si="5"/>
        <v/>
      </c>
      <c r="AG14" s="95"/>
      <c r="AH14" s="93"/>
      <c r="AI14" s="94"/>
      <c r="AJ14" s="94"/>
      <c r="AK14" s="95" t="str">
        <f t="shared" si="6"/>
        <v/>
      </c>
      <c r="AL14" s="95"/>
      <c r="AM14" s="93"/>
      <c r="AN14" s="94"/>
      <c r="AO14" s="94"/>
      <c r="AP14" s="95" t="str">
        <f t="shared" si="7"/>
        <v/>
      </c>
      <c r="AQ14" s="95"/>
      <c r="AR14" s="93"/>
      <c r="AS14" s="94"/>
      <c r="AT14" s="94"/>
      <c r="AU14" s="95" t="str">
        <f t="shared" si="8"/>
        <v/>
      </c>
      <c r="AV14" s="95"/>
      <c r="AW14" s="93"/>
      <c r="AX14" s="94"/>
      <c r="AY14" s="94"/>
      <c r="AZ14" s="95" t="str">
        <f t="shared" ref="AZ14" si="9">IF(AW14&lt;&gt;0,IF(AX14&lt;AY14,"3",IF(AX14&gt;AY14,"0","1")),"")</f>
        <v/>
      </c>
      <c r="BA14" s="95"/>
      <c r="BB14" s="93"/>
      <c r="BC14" s="94"/>
      <c r="BD14" s="94"/>
      <c r="BE14" s="95" t="str">
        <f>IF(BB14&lt;&gt;0,IF(BC14&lt;BD14,"3",IF(BC14&gt;BD14,"0","1")),"")</f>
        <v/>
      </c>
      <c r="BF14" s="95"/>
      <c r="BG14" s="243" t="s">
        <v>66</v>
      </c>
      <c r="BH14" s="243"/>
      <c r="BI14" s="243"/>
      <c r="BJ14" s="243"/>
      <c r="BK14" s="243"/>
    </row>
    <row r="16" spans="1:63" ht="15.75" thickBot="1" x14ac:dyDescent="0.3"/>
    <row r="17" spans="9:18" x14ac:dyDescent="0.25">
      <c r="I17" s="246" t="s">
        <v>231</v>
      </c>
      <c r="J17" s="247"/>
      <c r="K17" s="247"/>
      <c r="L17" s="247"/>
      <c r="M17" s="247"/>
      <c r="N17" s="247"/>
      <c r="O17" s="247"/>
      <c r="P17" s="247"/>
      <c r="Q17" s="247"/>
      <c r="R17" s="248"/>
    </row>
    <row r="18" spans="9:18" x14ac:dyDescent="0.25">
      <c r="I18" s="249"/>
      <c r="J18" s="250"/>
      <c r="K18" s="250"/>
      <c r="L18" s="250"/>
      <c r="M18" s="250"/>
      <c r="N18" s="250"/>
      <c r="O18" s="250"/>
      <c r="P18" s="250"/>
      <c r="Q18" s="250"/>
      <c r="R18" s="251"/>
    </row>
    <row r="19" spans="9:18" ht="15.75" thickBot="1" x14ac:dyDescent="0.3">
      <c r="I19" s="252"/>
      <c r="J19" s="253"/>
      <c r="K19" s="253"/>
      <c r="L19" s="253"/>
      <c r="M19" s="253"/>
      <c r="N19" s="253"/>
      <c r="O19" s="253"/>
      <c r="P19" s="253"/>
      <c r="Q19" s="253"/>
      <c r="R19" s="254"/>
    </row>
  </sheetData>
  <sheetProtection algorithmName="SHA-512" hashValue="1kz0JuCvrg25Vo+eD04itte0evSlRaMtVvs5zHNsBVHX7014bo15CtFb/veWfXsYnVBsiDZG4BRrkUUu2r0Lkg==" saltValue="4JrhSWRQxl85xQCnfeAqNQ==" spinCount="100000" sheet="1" formatCells="0"/>
  <protectedRanges>
    <protectedRange sqref="Q6:R14 V7:W14 AF9:AG14 AK10:AL14 AP11:AQ14 AU12:AV14 AZ13:BA14 AZ3:AZ11 BE3:BE12 BJ3:BJ13 L5:M14 AA8:AB14 BE14:BF14 G4:H14 L3 Q3:Q4 V3:V5 AA3:AA6 AF3:AF7 AK3:AK8 AP3:AP9 AU3:AU10" name="Rango1"/>
    <protectedRange sqref="D4:F14" name="Rango1_7"/>
    <protectedRange sqref="I5:K14" name="Rango1_8"/>
    <protectedRange sqref="N7:P14" name="Rango1_9"/>
    <protectedRange sqref="N6:P6" name="Rango1_2_1"/>
    <protectedRange sqref="S7:U14" name="Rango1_10"/>
    <protectedRange sqref="X8:Z14" name="Rango1_11"/>
    <protectedRange sqref="AC9:AE14" name="Rango1_12"/>
    <protectedRange sqref="AH10:AJ14" name="Rango1_13"/>
    <protectedRange sqref="AM11:AO14" name="Rango1_14"/>
    <protectedRange sqref="AR12:AT14" name="Rango1_15"/>
    <protectedRange sqref="AW13:AY14" name="Rango1_16"/>
    <protectedRange sqref="BB14:BD14" name="Rango1_17"/>
    <protectedRange sqref="C3:C14" name="Rango1_22"/>
  </protectedRanges>
  <mergeCells count="40">
    <mergeCell ref="A1:A2"/>
    <mergeCell ref="AH9:AL9"/>
    <mergeCell ref="AM10:AQ10"/>
    <mergeCell ref="AR11:AV11"/>
    <mergeCell ref="AW12:BA12"/>
    <mergeCell ref="X1:AB1"/>
    <mergeCell ref="AC1:AG1"/>
    <mergeCell ref="AH1:AL1"/>
    <mergeCell ref="AM1:AQ1"/>
    <mergeCell ref="AR1:AV1"/>
    <mergeCell ref="AW1:BA1"/>
    <mergeCell ref="AI2:AJ2"/>
    <mergeCell ref="AN2:AO2"/>
    <mergeCell ref="AS2:AT2"/>
    <mergeCell ref="AX2:AY2"/>
    <mergeCell ref="AD2:AE2"/>
    <mergeCell ref="BG14:BK14"/>
    <mergeCell ref="D3:H3"/>
    <mergeCell ref="I4:M4"/>
    <mergeCell ref="N5:R5"/>
    <mergeCell ref="S6:W6"/>
    <mergeCell ref="X7:AB7"/>
    <mergeCell ref="AC8:AG8"/>
    <mergeCell ref="BB13:BF13"/>
    <mergeCell ref="I17:R19"/>
    <mergeCell ref="BB1:BF1"/>
    <mergeCell ref="BG1:BK1"/>
    <mergeCell ref="B1:B2"/>
    <mergeCell ref="C1:C2"/>
    <mergeCell ref="D1:H1"/>
    <mergeCell ref="I1:M1"/>
    <mergeCell ref="N1:R1"/>
    <mergeCell ref="S1:W1"/>
    <mergeCell ref="E2:F2"/>
    <mergeCell ref="J2:K2"/>
    <mergeCell ref="O2:P2"/>
    <mergeCell ref="T2:U2"/>
    <mergeCell ref="BC2:BD2"/>
    <mergeCell ref="BH2:BI2"/>
    <mergeCell ref="Y2:Z2"/>
  </mergeCells>
  <conditionalFormatting sqref="BG13:BI13 BB12:BD12 AW11:AY11 AR10:AT10 AM9:AO9 AH8:AJ8 AC7:AE7 X6:Z6 S5:U5 N4:P4 H7:Q14 R7:W7 R8:V14 W8:AB8 AB9:AG9 AB10:AF14 AG10:AL10 AG11:AK14 AL11:AQ11 AL12:AP14 AQ12:AV12 AQ13:AU14 AV13:BA13 AV14:BF14 I3:P3 R3:U4 W3:Z5 AB3:AE6 AG3:AJ7 AL3:AO8 AQ3:AT9 AV3:AY10 BA3:BD11 BF3:BI12 BK3:BK13 H4 M5 H5:L6 M6:R6 D4:G14 W9:AA14">
    <cfRule type="notContainsBlanks" dxfId="117" priority="19">
      <formula>LEN(TRIM(D3))&gt;0</formula>
    </cfRule>
  </conditionalFormatting>
  <conditionalFormatting sqref="I3:P3 R3:T3">
    <cfRule type="notContainsBlanks" dxfId="116" priority="20">
      <formula>LEN(TRIM(I3))&gt;0</formula>
    </cfRule>
  </conditionalFormatting>
  <conditionalFormatting sqref="U3">
    <cfRule type="notContainsBlanks" dxfId="115" priority="18">
      <formula>LEN(TRIM(U3))&gt;0</formula>
    </cfRule>
  </conditionalFormatting>
  <conditionalFormatting sqref="Z3">
    <cfRule type="notContainsBlanks" dxfId="114" priority="17">
      <formula>LEN(TRIM(Z3))&gt;0</formula>
    </cfRule>
  </conditionalFormatting>
  <conditionalFormatting sqref="AE3">
    <cfRule type="notContainsBlanks" dxfId="113" priority="16">
      <formula>LEN(TRIM(AE3))&gt;0</formula>
    </cfRule>
  </conditionalFormatting>
  <conditionalFormatting sqref="Q3:Q4">
    <cfRule type="notContainsBlanks" dxfId="112" priority="15">
      <formula>LEN(TRIM(Q3))&gt;0</formula>
    </cfRule>
  </conditionalFormatting>
  <conditionalFormatting sqref="V3:V5">
    <cfRule type="notContainsBlanks" dxfId="111" priority="14">
      <formula>LEN(TRIM(V3))&gt;0</formula>
    </cfRule>
  </conditionalFormatting>
  <conditionalFormatting sqref="AA3:AA6">
    <cfRule type="notContainsBlanks" dxfId="110" priority="13">
      <formula>LEN(TRIM(AA3))&gt;0</formula>
    </cfRule>
  </conditionalFormatting>
  <conditionalFormatting sqref="AF3:AF7">
    <cfRule type="notContainsBlanks" dxfId="109" priority="12">
      <formula>LEN(TRIM(AF3))&gt;0</formula>
    </cfRule>
  </conditionalFormatting>
  <conditionalFormatting sqref="AK3:AK8">
    <cfRule type="notContainsBlanks" dxfId="108" priority="11">
      <formula>LEN(TRIM(AK3))&gt;0</formula>
    </cfRule>
  </conditionalFormatting>
  <conditionalFormatting sqref="AP3:AP9">
    <cfRule type="notContainsBlanks" dxfId="107" priority="10">
      <formula>LEN(TRIM(AP3))&gt;0</formula>
    </cfRule>
  </conditionalFormatting>
  <conditionalFormatting sqref="AU3:AU10">
    <cfRule type="notContainsBlanks" dxfId="106" priority="9">
      <formula>LEN(TRIM(AU3))&gt;0</formula>
    </cfRule>
  </conditionalFormatting>
  <conditionalFormatting sqref="AZ3:AZ11">
    <cfRule type="notContainsBlanks" dxfId="105" priority="8">
      <formula>LEN(TRIM(AZ3))&gt;0</formula>
    </cfRule>
  </conditionalFormatting>
  <conditionalFormatting sqref="BE3:BE12">
    <cfRule type="notContainsBlanks" dxfId="104" priority="7">
      <formula>LEN(TRIM(BE3))&gt;0</formula>
    </cfRule>
  </conditionalFormatting>
  <conditionalFormatting sqref="BJ3:BJ13">
    <cfRule type="notContainsBlanks" dxfId="103" priority="6">
      <formula>LEN(TRIM(BJ3))&gt;0</formula>
    </cfRule>
  </conditionalFormatting>
  <conditionalFormatting sqref="D3:BK14">
    <cfRule type="containsText" dxfId="102" priority="1" operator="containsText" text="W">
      <formula>NOT(ISERROR(SEARCH("W",D3)))</formula>
    </cfRule>
  </conditionalFormatting>
  <pageMargins left="0.45" right="0.2" top="0.75" bottom="0.75" header="0.3" footer="0.3"/>
  <pageSetup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0589D-15DD-490E-B566-648A97EB612B}">
  <sheetPr codeName="Hoja23"/>
  <dimension ref="G3:Q19"/>
  <sheetViews>
    <sheetView showGridLines="0" workbookViewId="0"/>
  </sheetViews>
  <sheetFormatPr baseColWidth="10" defaultRowHeight="15" x14ac:dyDescent="0.25"/>
  <cols>
    <col min="1" max="6" width="11.42578125" style="106"/>
    <col min="7" max="7" width="5.28515625" style="106" bestFit="1" customWidth="1"/>
    <col min="8" max="8" width="45.7109375" style="106" customWidth="1"/>
    <col min="9" max="9" width="6.140625" style="106" customWidth="1"/>
    <col min="10" max="10" width="7" style="106" customWidth="1"/>
    <col min="11" max="11" width="6.5703125" style="106" customWidth="1"/>
    <col min="12" max="12" width="6.7109375" style="106" customWidth="1"/>
    <col min="13" max="13" width="6.85546875" style="106" customWidth="1"/>
    <col min="14" max="14" width="7" style="106" customWidth="1"/>
    <col min="15" max="15" width="7.28515625" style="107" customWidth="1"/>
    <col min="16" max="16" width="11.140625" style="108" bestFit="1" customWidth="1"/>
    <col min="17" max="17" width="9" style="106" customWidth="1"/>
    <col min="18" max="18" width="11.42578125" style="106"/>
    <col min="19" max="19" width="4.140625" style="106" bestFit="1" customWidth="1"/>
    <col min="20" max="20" width="45.7109375" style="106" customWidth="1"/>
    <col min="21" max="21" width="4.28515625" style="106" bestFit="1" customWidth="1"/>
    <col min="22" max="22" width="5.140625" style="106" bestFit="1" customWidth="1"/>
    <col min="23" max="23" width="4.7109375" style="106" bestFit="1" customWidth="1"/>
    <col min="24" max="24" width="4.85546875" style="106" bestFit="1" customWidth="1"/>
    <col min="25" max="25" width="5" style="106" bestFit="1" customWidth="1"/>
    <col min="26" max="26" width="5.140625" style="106" bestFit="1" customWidth="1"/>
    <col min="27" max="27" width="5.42578125" style="106" bestFit="1" customWidth="1"/>
    <col min="28" max="28" width="7.140625" style="106" bestFit="1" customWidth="1"/>
    <col min="29" max="16384" width="11.42578125" style="106"/>
  </cols>
  <sheetData>
    <row r="3" spans="7:17" ht="15.75" thickBot="1" x14ac:dyDescent="0.3"/>
    <row r="4" spans="7:17" ht="18.75" customHeight="1" x14ac:dyDescent="0.25">
      <c r="G4" s="96"/>
      <c r="H4" s="265" t="s">
        <v>27</v>
      </c>
      <c r="I4" s="266"/>
      <c r="J4" s="266"/>
      <c r="K4" s="266"/>
      <c r="L4" s="266"/>
      <c r="M4" s="266"/>
      <c r="N4" s="266"/>
      <c r="O4" s="266"/>
      <c r="P4" s="266"/>
      <c r="Q4" s="267"/>
    </row>
    <row r="5" spans="7:17" ht="15.75" thickBot="1" x14ac:dyDescent="0.3">
      <c r="G5" s="96"/>
      <c r="H5" s="268"/>
      <c r="I5" s="269"/>
      <c r="J5" s="269"/>
      <c r="K5" s="269"/>
      <c r="L5" s="269"/>
      <c r="M5" s="269"/>
      <c r="N5" s="269"/>
      <c r="O5" s="269"/>
      <c r="P5" s="269"/>
      <c r="Q5" s="270"/>
    </row>
    <row r="6" spans="7:17" ht="23.25" thickBot="1" x14ac:dyDescent="0.35">
      <c r="G6" s="96"/>
      <c r="H6" s="188" t="s">
        <v>16</v>
      </c>
      <c r="I6" s="189" t="s">
        <v>19</v>
      </c>
      <c r="J6" s="189" t="s">
        <v>20</v>
      </c>
      <c r="K6" s="189" t="s">
        <v>21</v>
      </c>
      <c r="L6" s="189" t="s">
        <v>22</v>
      </c>
      <c r="M6" s="189" t="s">
        <v>23</v>
      </c>
      <c r="N6" s="189" t="s">
        <v>24</v>
      </c>
      <c r="O6" s="189" t="s">
        <v>25</v>
      </c>
      <c r="P6" s="190" t="s">
        <v>38</v>
      </c>
      <c r="Q6" s="189" t="s">
        <v>26</v>
      </c>
    </row>
    <row r="7" spans="7:17" ht="23.25" thickBot="1" x14ac:dyDescent="0.35">
      <c r="G7" s="188">
        <v>1</v>
      </c>
      <c r="H7" s="100" t="str">
        <f>IF(B!C5&lt;&gt;0,B!C5," ")</f>
        <v>ABC JURIDICAS S.A.S ( B )</v>
      </c>
      <c r="I7" s="102">
        <f>COUNTA(B!D5,B!I5,B!N6:N14)</f>
        <v>2</v>
      </c>
      <c r="J7" s="101">
        <f>COUNTIF(B!$Q$3:$Q$14,3)</f>
        <v>2</v>
      </c>
      <c r="K7" s="101">
        <f>COUNTIF(B!$Q$3:$Q$14,1)</f>
        <v>0</v>
      </c>
      <c r="L7" s="101">
        <f>COUNTIF(B!$Q$3:$Q$14,0)</f>
        <v>0</v>
      </c>
      <c r="M7" s="102">
        <f>SUM(B!$P$3:$P$14)</f>
        <v>10</v>
      </c>
      <c r="N7" s="102">
        <f>SUM(B!$O$3:$O$14)</f>
        <v>2</v>
      </c>
      <c r="O7" s="103">
        <f t="shared" ref="O7:O18" si="0">M7-N7</f>
        <v>8</v>
      </c>
      <c r="P7" s="104">
        <f t="shared" ref="P7:P18" si="1">IF(N7&lt;&gt;0,N7/I7,"0")</f>
        <v>1</v>
      </c>
      <c r="Q7" s="103">
        <f t="shared" ref="Q7:Q18" si="2">(J7*3)+K7</f>
        <v>6</v>
      </c>
    </row>
    <row r="8" spans="7:17" ht="23.25" thickBot="1" x14ac:dyDescent="0.35">
      <c r="G8" s="191">
        <v>2</v>
      </c>
      <c r="H8" s="100" t="str">
        <f>IF(B!C9&lt;&gt;0,B!C9," ")</f>
        <v>BILIF MANIZALES (EL CARMEN)</v>
      </c>
      <c r="I8" s="101">
        <f>COUNTA(B!D9,B!I9,B!N9,B!S9,B!X9,B!AC9,B!AH10:AH14)</f>
        <v>1</v>
      </c>
      <c r="J8" s="101">
        <f>COUNTIF(B!$AK$3:$AK$14,3)</f>
        <v>1</v>
      </c>
      <c r="K8" s="101">
        <f>COUNTIF(B!$AK$3:$AK$14,1)</f>
        <v>0</v>
      </c>
      <c r="L8" s="101">
        <f>COUNTIF(B!$AK$3:$AK$14,0)</f>
        <v>0</v>
      </c>
      <c r="M8" s="102">
        <f>SUM(B!$AJ$3:$AJ$14)</f>
        <v>4</v>
      </c>
      <c r="N8" s="102">
        <f>SUM(B!$AI$3:$AI$14)</f>
        <v>3</v>
      </c>
      <c r="O8" s="103">
        <f t="shared" si="0"/>
        <v>1</v>
      </c>
      <c r="P8" s="104">
        <f t="shared" si="1"/>
        <v>3</v>
      </c>
      <c r="Q8" s="103">
        <f t="shared" si="2"/>
        <v>3</v>
      </c>
    </row>
    <row r="9" spans="7:17" ht="23.25" thickBot="1" x14ac:dyDescent="0.35">
      <c r="G9" s="188">
        <v>3</v>
      </c>
      <c r="H9" s="100" t="str">
        <f>IF(B!C7&lt;&gt;0,B!C7," ")</f>
        <v>BODEGAS COLOMBIA</v>
      </c>
      <c r="I9" s="102">
        <f>COUNTA(B!D7,B!I7,B!N7,B!S7,B!X8:X14)</f>
        <v>2</v>
      </c>
      <c r="J9" s="101">
        <f>COUNTIF(B!$AA$3:$AA$14,3)</f>
        <v>1</v>
      </c>
      <c r="K9" s="101">
        <f>COUNTIF(B!$AA$3:$AA$14,1)</f>
        <v>0</v>
      </c>
      <c r="L9" s="101">
        <f>COUNTIF(B!$AA$3:$AA$14,0)</f>
        <v>1</v>
      </c>
      <c r="M9" s="102">
        <f>SUM(B!$Z$3:$Z$14)</f>
        <v>5</v>
      </c>
      <c r="N9" s="102">
        <f>SUM(B!$Y$3:$Y$14)</f>
        <v>5</v>
      </c>
      <c r="O9" s="103">
        <f t="shared" si="0"/>
        <v>0</v>
      </c>
      <c r="P9" s="104">
        <f t="shared" si="1"/>
        <v>2.5</v>
      </c>
      <c r="Q9" s="103">
        <f t="shared" si="2"/>
        <v>3</v>
      </c>
    </row>
    <row r="10" spans="7:17" ht="23.25" thickBot="1" x14ac:dyDescent="0.35">
      <c r="G10" s="191">
        <v>4</v>
      </c>
      <c r="H10" s="100" t="str">
        <f>IF(B!C6&lt;&gt;0,B!C6," ")</f>
        <v>SURTIYA</v>
      </c>
      <c r="I10" s="101">
        <f>COUNTA(B!D6,B!I6,B!N6,B!S7:S14)</f>
        <v>2</v>
      </c>
      <c r="J10" s="101">
        <f>COUNTIF(B!$V$3:$V$14,3)</f>
        <v>1</v>
      </c>
      <c r="K10" s="101">
        <f>COUNTIF(B!$V$3:$V$14,1)</f>
        <v>0</v>
      </c>
      <c r="L10" s="101">
        <f>COUNTIF(B!$V$3:$V$14,0)</f>
        <v>1</v>
      </c>
      <c r="M10" s="102">
        <f>SUM(B!$U$3:$U$14)</f>
        <v>3</v>
      </c>
      <c r="N10" s="102">
        <f>SUM(B!$T$3:$T$14)</f>
        <v>7</v>
      </c>
      <c r="O10" s="103">
        <f t="shared" si="0"/>
        <v>-4</v>
      </c>
      <c r="P10" s="104">
        <f t="shared" si="1"/>
        <v>3.5</v>
      </c>
      <c r="Q10" s="103">
        <f t="shared" si="2"/>
        <v>3</v>
      </c>
    </row>
    <row r="11" spans="7:17" ht="23.25" thickBot="1" x14ac:dyDescent="0.35">
      <c r="G11" s="188">
        <v>5</v>
      </c>
      <c r="H11" s="100" t="str">
        <f>IF(B!C8&lt;&gt;0,B!C8," ")</f>
        <v>PLATENSE</v>
      </c>
      <c r="I11" s="102">
        <f>COUNTA(B!D8,B!I8,B!N8,B!S8,B!X8,B!AC9:AC14)</f>
        <v>0</v>
      </c>
      <c r="J11" s="101">
        <f>COUNTIF(B!$AF$3:$AF$14,3)</f>
        <v>0</v>
      </c>
      <c r="K11" s="101">
        <f>COUNTIF(B!$AF$3:$AF$14,1)</f>
        <v>0</v>
      </c>
      <c r="L11" s="101">
        <f>COUNTIF(B!$AF$3:$AF$14,0)</f>
        <v>0</v>
      </c>
      <c r="M11" s="102">
        <f>SUM(B!$AE$3:$AE$14)</f>
        <v>0</v>
      </c>
      <c r="N11" s="102">
        <f>SUM(B!$AD$3:$AD$14)</f>
        <v>0</v>
      </c>
      <c r="O11" s="103">
        <f t="shared" si="0"/>
        <v>0</v>
      </c>
      <c r="P11" s="104" t="str">
        <f t="shared" si="1"/>
        <v>0</v>
      </c>
      <c r="Q11" s="103">
        <f t="shared" si="2"/>
        <v>0</v>
      </c>
    </row>
    <row r="12" spans="7:17" ht="23.25" thickBot="1" x14ac:dyDescent="0.35">
      <c r="G12" s="191">
        <v>6</v>
      </c>
      <c r="H12" s="100" t="str">
        <f>IF(B!C10&lt;&gt;0,B!C10," ")</f>
        <v>CUCOS F.C</v>
      </c>
      <c r="I12" s="102">
        <f>COUNTA(B!D10,B!I10,B!N10,B!S10,B!X10,B!AC10,B!AH10,B!AM11:AM14)</f>
        <v>0</v>
      </c>
      <c r="J12" s="101">
        <f>COUNTIF(B!$AP$3:$AP$14,3)</f>
        <v>0</v>
      </c>
      <c r="K12" s="101">
        <f>COUNTIF(B!$AP$3:$AP$14,1)</f>
        <v>0</v>
      </c>
      <c r="L12" s="101">
        <f>COUNTIF(B!$AP$3:$AP$14,0)</f>
        <v>0</v>
      </c>
      <c r="M12" s="102">
        <f>SUM(B!$AO$3:$AO$14)</f>
        <v>0</v>
      </c>
      <c r="N12" s="102">
        <f>SUM(B!$AN$3:$AN$14)</f>
        <v>0</v>
      </c>
      <c r="O12" s="103">
        <f t="shared" si="0"/>
        <v>0</v>
      </c>
      <c r="P12" s="104" t="str">
        <f t="shared" si="1"/>
        <v>0</v>
      </c>
      <c r="Q12" s="103">
        <f t="shared" si="2"/>
        <v>0</v>
      </c>
    </row>
    <row r="13" spans="7:17" ht="23.25" thickBot="1" x14ac:dyDescent="0.35">
      <c r="G13" s="188">
        <v>7</v>
      </c>
      <c r="H13" s="100" t="str">
        <f>IF(B!C11&lt;&gt;0,B!C11," ")</f>
        <v>RB LEIPZIG</v>
      </c>
      <c r="I13" s="102">
        <f>COUNTA(B!D11,B!I11,B!N11,B!S11,B!X11,B!AC11,B!AH11,B!AM11,B!AR12:AR14)</f>
        <v>0</v>
      </c>
      <c r="J13" s="101">
        <f>COUNTIF(B!$AU$3:$AU$14,3)</f>
        <v>0</v>
      </c>
      <c r="K13" s="101">
        <f>COUNTIF(B!$AU$3:$AU$14,1)</f>
        <v>0</v>
      </c>
      <c r="L13" s="101">
        <f>COUNTIF(B!$AU$3:$AU$14,0)</f>
        <v>0</v>
      </c>
      <c r="M13" s="102">
        <f>SUM(B!$AT$3:$AT$14)</f>
        <v>0</v>
      </c>
      <c r="N13" s="102">
        <f>SUM(B!$AS$3:$AS$14)</f>
        <v>0</v>
      </c>
      <c r="O13" s="103">
        <f t="shared" si="0"/>
        <v>0</v>
      </c>
      <c r="P13" s="104" t="str">
        <f t="shared" si="1"/>
        <v>0</v>
      </c>
      <c r="Q13" s="103">
        <f t="shared" si="2"/>
        <v>0</v>
      </c>
    </row>
    <row r="14" spans="7:17" ht="23.25" thickBot="1" x14ac:dyDescent="0.35">
      <c r="G14" s="191">
        <v>8</v>
      </c>
      <c r="H14" s="100" t="str">
        <f>IF(B!C12&lt;&gt;0,B!C12," ")</f>
        <v xml:space="preserve"> </v>
      </c>
      <c r="I14" s="101">
        <f>COUNTA(B!D12,B!I12,B!N12,B!S12,B!X12,B!AC12,B!AH12,B!AM12,B!AR12,B!AW13:AW14)</f>
        <v>0</v>
      </c>
      <c r="J14" s="101">
        <f>COUNTIF(B!$AZ$3:$AZ$14,3)</f>
        <v>0</v>
      </c>
      <c r="K14" s="101">
        <f>COUNTIF(B!$AZ$3:$AZ$14,1)</f>
        <v>0</v>
      </c>
      <c r="L14" s="101">
        <f>COUNTIF(B!$AZ$3:$AZ$14,0)</f>
        <v>0</v>
      </c>
      <c r="M14" s="102">
        <f>SUM(B!$AY$3:$AY$14)</f>
        <v>0</v>
      </c>
      <c r="N14" s="102">
        <f>SUM(B!$AX$3:$AX$14)</f>
        <v>0</v>
      </c>
      <c r="O14" s="103">
        <f t="shared" si="0"/>
        <v>0</v>
      </c>
      <c r="P14" s="104" t="str">
        <f t="shared" si="1"/>
        <v>0</v>
      </c>
      <c r="Q14" s="103">
        <f t="shared" si="2"/>
        <v>0</v>
      </c>
    </row>
    <row r="15" spans="7:17" ht="23.25" thickBot="1" x14ac:dyDescent="0.35">
      <c r="G15" s="188">
        <v>9</v>
      </c>
      <c r="H15" s="100" t="str">
        <f>IF(B!C13&lt;&gt;0,B!C13," ")</f>
        <v xml:space="preserve"> </v>
      </c>
      <c r="I15" s="102">
        <f>COUNTA(B!D13,B!I13,B!N13,B!S13,B!X13,B!AC13,B!AH13,B!AM13,B!AR13,B!AW13,B!BB14)</f>
        <v>0</v>
      </c>
      <c r="J15" s="101">
        <f>COUNTIF(B!$BE$3:$BE$14,3)</f>
        <v>0</v>
      </c>
      <c r="K15" s="101">
        <f>COUNTIF(B!$BE$3:$BE$14,1)</f>
        <v>0</v>
      </c>
      <c r="L15" s="101">
        <f>COUNTIF(B!$BE$3:$BE$14,0)</f>
        <v>0</v>
      </c>
      <c r="M15" s="102">
        <f>SUM(B!$BD$3:$BD$14)</f>
        <v>0</v>
      </c>
      <c r="N15" s="102">
        <f>SUM(B!$BC$3:$BC$14)</f>
        <v>0</v>
      </c>
      <c r="O15" s="103">
        <f t="shared" si="0"/>
        <v>0</v>
      </c>
      <c r="P15" s="104" t="str">
        <f t="shared" si="1"/>
        <v>0</v>
      </c>
      <c r="Q15" s="103">
        <f t="shared" si="2"/>
        <v>0</v>
      </c>
    </row>
    <row r="16" spans="7:17" ht="23.25" thickBot="1" x14ac:dyDescent="0.35">
      <c r="G16" s="191">
        <v>10</v>
      </c>
      <c r="H16" s="100" t="str">
        <f>IF(B!C14&lt;&gt;0,B!C14," ")</f>
        <v xml:space="preserve"> </v>
      </c>
      <c r="I16" s="102">
        <f>COUNTA(B!D14,B!I14,B!N14,B!S14,B!X14,B!AC14,B!AH14,B!AM14,B!AR14,B!AW14,B!BB14)</f>
        <v>0</v>
      </c>
      <c r="J16" s="101">
        <f>COUNTIF(B!$BJ$3:$BJ$14,3)</f>
        <v>0</v>
      </c>
      <c r="K16" s="101">
        <f>COUNTIF(B!$BJ$3:$BJ$14,1)</f>
        <v>0</v>
      </c>
      <c r="L16" s="101">
        <f>COUNTIF(B!$BJ$3:$BJ$14,0)</f>
        <v>0</v>
      </c>
      <c r="M16" s="102">
        <f>SUM(B!$BI$3:$BI$14)</f>
        <v>0</v>
      </c>
      <c r="N16" s="102">
        <f>SUM(B!$BH$3:$BH$14)</f>
        <v>0</v>
      </c>
      <c r="O16" s="103">
        <f t="shared" si="0"/>
        <v>0</v>
      </c>
      <c r="P16" s="104" t="str">
        <f t="shared" si="1"/>
        <v>0</v>
      </c>
      <c r="Q16" s="103">
        <f t="shared" si="2"/>
        <v>0</v>
      </c>
    </row>
    <row r="17" spans="7:17" ht="23.25" thickBot="1" x14ac:dyDescent="0.35">
      <c r="G17" s="191">
        <v>11</v>
      </c>
      <c r="H17" s="100" t="str">
        <f>IF(B!C3&lt;&gt;0,B!C3," ")</f>
        <v>LOS TRONCOS</v>
      </c>
      <c r="I17" s="101">
        <f>COUNTA(B!D4:D14)</f>
        <v>1</v>
      </c>
      <c r="J17" s="101">
        <f>COUNTIF(B!$G$3:$G$14,3)</f>
        <v>0</v>
      </c>
      <c r="K17" s="101">
        <f>COUNTIF(B!$G$3:$G$14,1)</f>
        <v>0</v>
      </c>
      <c r="L17" s="101">
        <f>COUNTIF(B!$G$3:$G$14,0)</f>
        <v>1</v>
      </c>
      <c r="M17" s="102">
        <f>SUM(B!$F$3:$F$14)</f>
        <v>1</v>
      </c>
      <c r="N17" s="102">
        <f>SUM(B!$E$3:$E$14)</f>
        <v>3</v>
      </c>
      <c r="O17" s="103">
        <f t="shared" si="0"/>
        <v>-2</v>
      </c>
      <c r="P17" s="104">
        <f t="shared" si="1"/>
        <v>3</v>
      </c>
      <c r="Q17" s="103">
        <f t="shared" si="2"/>
        <v>0</v>
      </c>
    </row>
    <row r="18" spans="7:17" ht="23.25" thickBot="1" x14ac:dyDescent="0.35">
      <c r="G18" s="191">
        <v>12</v>
      </c>
      <c r="H18" s="100" t="str">
        <f>IF(B!C4&lt;&gt;0,B!C4," ")</f>
        <v>GR CONSTRUCCIONES</v>
      </c>
      <c r="I18" s="102">
        <f>COUNTA(B!D4,B!I5:I14)</f>
        <v>2</v>
      </c>
      <c r="J18" s="101">
        <f>COUNTIF(B!$L$3:$L$14,3)</f>
        <v>0</v>
      </c>
      <c r="K18" s="101">
        <f>COUNTIF(B!$L$3:$L$14,1)</f>
        <v>0</v>
      </c>
      <c r="L18" s="101">
        <f>COUNTIF(B!$L$3:$L$14,0)</f>
        <v>2</v>
      </c>
      <c r="M18" s="102">
        <f>SUM(B!$K$3:$K$14)</f>
        <v>3</v>
      </c>
      <c r="N18" s="102">
        <f>SUM(B!$J$3:$J$14)</f>
        <v>6</v>
      </c>
      <c r="O18" s="103">
        <f t="shared" si="0"/>
        <v>-3</v>
      </c>
      <c r="P18" s="104">
        <f t="shared" si="1"/>
        <v>3</v>
      </c>
      <c r="Q18" s="103">
        <f t="shared" si="2"/>
        <v>0</v>
      </c>
    </row>
    <row r="19" spans="7:17" x14ac:dyDescent="0.25">
      <c r="G19" s="96"/>
      <c r="H19" s="96"/>
      <c r="I19" s="97">
        <f>SUM(I7:I18)/2</f>
        <v>5</v>
      </c>
      <c r="J19" s="97">
        <f>SUM(J7:J18)</f>
        <v>5</v>
      </c>
      <c r="K19" s="97">
        <f>SUM(K7:K18)/2</f>
        <v>0</v>
      </c>
      <c r="L19" s="97">
        <f>SUM(L7:L18)</f>
        <v>5</v>
      </c>
      <c r="M19" s="97">
        <f>SUM(M7:M18)</f>
        <v>26</v>
      </c>
      <c r="N19" s="97">
        <f>SUM(N7:N18)</f>
        <v>26</v>
      </c>
      <c r="O19" s="97"/>
      <c r="P19" s="98"/>
      <c r="Q19" s="96"/>
    </row>
  </sheetData>
  <sheetProtection algorithmName="SHA-512" hashValue="Ju8ykyntMr6DeYjTjL42y6YJIt0uyMhmmbraV9ph/shaOenPCc0tN58EAnjCuuvjlZRE22ah1mY3RkPSoCNnWw==" saltValue="iXlI/+9X1An5PKJN1QNc7Q==" spinCount="100000" sheet="1" objects="1" scenarios="1" formatCells="0" sort="0"/>
  <sortState ref="H7:Q18">
    <sortCondition descending="1" ref="Q7:Q18"/>
    <sortCondition descending="1" ref="O7:O18"/>
    <sortCondition ref="I7:I18"/>
    <sortCondition descending="1" ref="M7:M18"/>
    <sortCondition ref="N7:N18"/>
  </sortState>
  <mergeCells count="1">
    <mergeCell ref="H4:Q5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ACTUALIZAR_GRUPO_B">
                <anchor moveWithCells="1" sizeWithCells="1">
                  <from>
                    <xdr:col>17</xdr:col>
                    <xdr:colOff>619125</xdr:colOff>
                    <xdr:row>9</xdr:row>
                    <xdr:rowOff>38100</xdr:rowOff>
                  </from>
                  <to>
                    <xdr:col>19</xdr:col>
                    <xdr:colOff>933450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28C65-AA3C-4BF1-B51F-F72C6C33F803}">
  <sheetPr codeName="Hoja24"/>
  <dimension ref="A1:BK19"/>
  <sheetViews>
    <sheetView showGridLines="0" workbookViewId="0">
      <pane xSplit="3" ySplit="2" topLeftCell="D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RowHeight="15" x14ac:dyDescent="0.25"/>
  <cols>
    <col min="1" max="1" width="20.7109375" style="7" customWidth="1"/>
    <col min="2" max="2" width="3.28515625" style="7" bestFit="1" customWidth="1"/>
    <col min="3" max="3" width="30.7109375" style="7" customWidth="1"/>
    <col min="4" max="4" width="10.7109375" style="7" customWidth="1"/>
    <col min="5" max="6" width="5.7109375" style="17" customWidth="1"/>
    <col min="7" max="7" width="5.7109375" style="17" hidden="1" customWidth="1"/>
    <col min="8" max="8" width="10.7109375" style="17" customWidth="1"/>
    <col min="9" max="9" width="10.7109375" style="22" customWidth="1"/>
    <col min="10" max="11" width="5.7109375" style="17" customWidth="1"/>
    <col min="12" max="12" width="5.7109375" style="17" hidden="1" customWidth="1"/>
    <col min="13" max="13" width="10.7109375" style="17" customWidth="1"/>
    <col min="14" max="14" width="10.7109375" style="22" customWidth="1"/>
    <col min="15" max="16" width="5.7109375" style="17" customWidth="1"/>
    <col min="17" max="17" width="5.7109375" style="17" hidden="1" customWidth="1"/>
    <col min="18" max="18" width="10.7109375" style="17" customWidth="1"/>
    <col min="19" max="19" width="10.7109375" style="22" customWidth="1"/>
    <col min="20" max="21" width="5.7109375" style="17" customWidth="1"/>
    <col min="22" max="22" width="5.7109375" style="17" hidden="1" customWidth="1"/>
    <col min="23" max="23" width="10.7109375" style="17" customWidth="1"/>
    <col min="24" max="24" width="10.7109375" style="22" customWidth="1"/>
    <col min="25" max="26" width="5.7109375" style="17" customWidth="1"/>
    <col min="27" max="27" width="5.7109375" style="17" hidden="1" customWidth="1"/>
    <col min="28" max="28" width="10.7109375" style="17" customWidth="1"/>
    <col min="29" max="29" width="10.7109375" style="22" customWidth="1"/>
    <col min="30" max="31" width="5.7109375" style="17" customWidth="1"/>
    <col min="32" max="32" width="5.7109375" style="17" hidden="1" customWidth="1"/>
    <col min="33" max="33" width="10.7109375" style="17" customWidth="1"/>
    <col min="34" max="34" width="10.7109375" style="22" customWidth="1"/>
    <col min="35" max="36" width="5.7109375" style="17" customWidth="1"/>
    <col min="37" max="37" width="5.7109375" style="17" hidden="1" customWidth="1"/>
    <col min="38" max="38" width="10.7109375" style="17" customWidth="1"/>
    <col min="39" max="39" width="10.7109375" style="22" customWidth="1"/>
    <col min="40" max="41" width="5.7109375" style="17" customWidth="1"/>
    <col min="42" max="42" width="5.7109375" style="17" hidden="1" customWidth="1"/>
    <col min="43" max="43" width="10.7109375" style="17" customWidth="1"/>
    <col min="44" max="44" width="10.7109375" style="22" customWidth="1"/>
    <col min="45" max="46" width="5.7109375" style="17" customWidth="1"/>
    <col min="47" max="47" width="5.7109375" style="17" hidden="1" customWidth="1"/>
    <col min="48" max="48" width="10.7109375" style="17" customWidth="1"/>
    <col min="49" max="49" width="10.7109375" style="22" customWidth="1"/>
    <col min="50" max="51" width="5.7109375" style="17" customWidth="1"/>
    <col min="52" max="52" width="5.7109375" style="17" hidden="1" customWidth="1"/>
    <col min="53" max="53" width="10.7109375" style="17" customWidth="1"/>
    <col min="54" max="54" width="10.7109375" style="22" customWidth="1"/>
    <col min="55" max="56" width="5.7109375" style="17" customWidth="1"/>
    <col min="57" max="57" width="5.7109375" style="17" hidden="1" customWidth="1"/>
    <col min="58" max="58" width="10.7109375" style="17" customWidth="1"/>
    <col min="59" max="59" width="10.7109375" style="22" customWidth="1"/>
    <col min="60" max="61" width="5.7109375" style="17" customWidth="1"/>
    <col min="62" max="62" width="5.7109375" style="17" hidden="1" customWidth="1"/>
    <col min="63" max="63" width="10.7109375" style="17" customWidth="1"/>
    <col min="64" max="16384" width="11.42578125" style="7"/>
  </cols>
  <sheetData>
    <row r="1" spans="1:63" x14ac:dyDescent="0.25">
      <c r="A1" s="255" t="s">
        <v>128</v>
      </c>
      <c r="B1" s="257" t="s">
        <v>37</v>
      </c>
      <c r="C1" s="271" t="s">
        <v>131</v>
      </c>
      <c r="D1" s="242" t="str">
        <f>C3</f>
        <v>RECONSTRUCTORA TITO</v>
      </c>
      <c r="E1" s="242"/>
      <c r="F1" s="242"/>
      <c r="G1" s="242"/>
      <c r="H1" s="242"/>
      <c r="I1" s="242" t="str">
        <f>C4</f>
        <v>EMBRAGUES Y CAJAS QUINTERO</v>
      </c>
      <c r="J1" s="242"/>
      <c r="K1" s="242"/>
      <c r="L1" s="242"/>
      <c r="M1" s="242"/>
      <c r="N1" s="242" t="str">
        <f>C5</f>
        <v>ARGENTINOS F.C</v>
      </c>
      <c r="O1" s="242"/>
      <c r="P1" s="242"/>
      <c r="Q1" s="242"/>
      <c r="R1" s="242"/>
      <c r="S1" s="242" t="str">
        <f>C6</f>
        <v>LOS PRIMOS</v>
      </c>
      <c r="T1" s="242"/>
      <c r="U1" s="242"/>
      <c r="V1" s="242"/>
      <c r="W1" s="242"/>
      <c r="X1" s="242" t="str">
        <f>C7</f>
        <v>MARQUESINAS MANIZALES</v>
      </c>
      <c r="Y1" s="242"/>
      <c r="Z1" s="242"/>
      <c r="AA1" s="242"/>
      <c r="AB1" s="242"/>
      <c r="AC1" s="242">
        <f>C8</f>
        <v>0</v>
      </c>
      <c r="AD1" s="242"/>
      <c r="AE1" s="242"/>
      <c r="AF1" s="242"/>
      <c r="AG1" s="242"/>
      <c r="AH1" s="242">
        <f>C9</f>
        <v>0</v>
      </c>
      <c r="AI1" s="242"/>
      <c r="AJ1" s="242"/>
      <c r="AK1" s="242"/>
      <c r="AL1" s="242"/>
      <c r="AM1" s="242">
        <f>C10</f>
        <v>0</v>
      </c>
      <c r="AN1" s="242"/>
      <c r="AO1" s="242"/>
      <c r="AP1" s="242"/>
      <c r="AQ1" s="242"/>
      <c r="AR1" s="242">
        <f>C11</f>
        <v>0</v>
      </c>
      <c r="AS1" s="242"/>
      <c r="AT1" s="242"/>
      <c r="AU1" s="242"/>
      <c r="AV1" s="242"/>
      <c r="AW1" s="242">
        <f>C12</f>
        <v>0</v>
      </c>
      <c r="AX1" s="242"/>
      <c r="AY1" s="242"/>
      <c r="AZ1" s="242"/>
      <c r="BA1" s="242"/>
      <c r="BB1" s="242">
        <f>C13</f>
        <v>0</v>
      </c>
      <c r="BC1" s="242"/>
      <c r="BD1" s="242"/>
      <c r="BE1" s="242"/>
      <c r="BF1" s="242"/>
      <c r="BG1" s="242">
        <f>C14</f>
        <v>0</v>
      </c>
      <c r="BH1" s="242"/>
      <c r="BI1" s="242"/>
      <c r="BJ1" s="242"/>
      <c r="BK1" s="242"/>
    </row>
    <row r="2" spans="1:63" x14ac:dyDescent="0.25">
      <c r="A2" s="255"/>
      <c r="B2" s="257"/>
      <c r="C2" s="271"/>
      <c r="D2" s="8" t="s">
        <v>67</v>
      </c>
      <c r="E2" s="244" t="s">
        <v>69</v>
      </c>
      <c r="F2" s="245"/>
      <c r="G2" s="91"/>
      <c r="H2" s="20" t="s">
        <v>68</v>
      </c>
      <c r="I2" s="21" t="s">
        <v>67</v>
      </c>
      <c r="J2" s="244" t="s">
        <v>69</v>
      </c>
      <c r="K2" s="245"/>
      <c r="L2" s="91"/>
      <c r="M2" s="20" t="s">
        <v>68</v>
      </c>
      <c r="N2" s="21" t="s">
        <v>67</v>
      </c>
      <c r="O2" s="244" t="s">
        <v>69</v>
      </c>
      <c r="P2" s="245"/>
      <c r="Q2" s="91"/>
      <c r="R2" s="20" t="s">
        <v>68</v>
      </c>
      <c r="S2" s="21" t="s">
        <v>67</v>
      </c>
      <c r="T2" s="244" t="s">
        <v>69</v>
      </c>
      <c r="U2" s="245"/>
      <c r="V2" s="91"/>
      <c r="W2" s="20" t="s">
        <v>68</v>
      </c>
      <c r="X2" s="21" t="s">
        <v>67</v>
      </c>
      <c r="Y2" s="244" t="s">
        <v>69</v>
      </c>
      <c r="Z2" s="245"/>
      <c r="AA2" s="91"/>
      <c r="AB2" s="20" t="s">
        <v>68</v>
      </c>
      <c r="AC2" s="21" t="s">
        <v>67</v>
      </c>
      <c r="AD2" s="244" t="s">
        <v>69</v>
      </c>
      <c r="AE2" s="245"/>
      <c r="AF2" s="91"/>
      <c r="AG2" s="20" t="s">
        <v>68</v>
      </c>
      <c r="AH2" s="21" t="s">
        <v>67</v>
      </c>
      <c r="AI2" s="244" t="s">
        <v>69</v>
      </c>
      <c r="AJ2" s="245"/>
      <c r="AK2" s="91"/>
      <c r="AL2" s="20" t="s">
        <v>68</v>
      </c>
      <c r="AM2" s="21" t="s">
        <v>67</v>
      </c>
      <c r="AN2" s="244" t="s">
        <v>69</v>
      </c>
      <c r="AO2" s="245"/>
      <c r="AP2" s="91"/>
      <c r="AQ2" s="20" t="s">
        <v>68</v>
      </c>
      <c r="AR2" s="21" t="s">
        <v>67</v>
      </c>
      <c r="AS2" s="244" t="s">
        <v>69</v>
      </c>
      <c r="AT2" s="245"/>
      <c r="AU2" s="91"/>
      <c r="AV2" s="20" t="s">
        <v>68</v>
      </c>
      <c r="AW2" s="21" t="s">
        <v>67</v>
      </c>
      <c r="AX2" s="244" t="s">
        <v>69</v>
      </c>
      <c r="AY2" s="245"/>
      <c r="AZ2" s="91"/>
      <c r="BA2" s="20" t="s">
        <v>68</v>
      </c>
      <c r="BB2" s="21" t="s">
        <v>67</v>
      </c>
      <c r="BC2" s="244" t="s">
        <v>69</v>
      </c>
      <c r="BD2" s="245"/>
      <c r="BE2" s="91"/>
      <c r="BF2" s="20" t="s">
        <v>68</v>
      </c>
      <c r="BG2" s="21" t="s">
        <v>67</v>
      </c>
      <c r="BH2" s="244" t="s">
        <v>69</v>
      </c>
      <c r="BI2" s="245"/>
      <c r="BJ2" s="91"/>
      <c r="BK2" s="20" t="s">
        <v>68</v>
      </c>
    </row>
    <row r="3" spans="1:63" x14ac:dyDescent="0.25">
      <c r="A3" s="143"/>
      <c r="B3" s="240">
        <v>1</v>
      </c>
      <c r="C3" s="110" t="s">
        <v>142</v>
      </c>
      <c r="D3" s="243" t="s">
        <v>66</v>
      </c>
      <c r="E3" s="243"/>
      <c r="F3" s="243"/>
      <c r="G3" s="243"/>
      <c r="H3" s="243"/>
      <c r="I3" s="223">
        <f>IF(D4&lt;&gt;0,D4," ")</f>
        <v>44765</v>
      </c>
      <c r="J3" s="224">
        <f>IF(D4&lt;&gt;0,F4, " ")</f>
        <v>2</v>
      </c>
      <c r="K3" s="224">
        <f>IF(D4&lt;&gt;0,E4," ")</f>
        <v>3</v>
      </c>
      <c r="L3" s="225" t="str">
        <f>IF(D4&lt;&gt;0,IF(J3&lt;K3,"3",IF(J3&gt;K3,"0","1")),"")</f>
        <v>3</v>
      </c>
      <c r="M3" s="224">
        <f>IF(D4&lt;&gt;0,H4," ")</f>
        <v>1</v>
      </c>
      <c r="N3" s="89" t="str">
        <f>IF(D5&lt;&gt;0,D5," ")</f>
        <v xml:space="preserve"> </v>
      </c>
      <c r="O3" s="90" t="str">
        <f>IF(D5&lt;&gt;0,F5," ")</f>
        <v xml:space="preserve"> </v>
      </c>
      <c r="P3" s="90" t="str">
        <f>IF(D5&lt;&gt;0,E5," ")</f>
        <v xml:space="preserve"> </v>
      </c>
      <c r="Q3" s="16" t="str">
        <f>IF(D5&lt;&gt;0,IF(O3&lt;P3,"3",IF(O3&gt;P3,"0","1")),"")</f>
        <v/>
      </c>
      <c r="R3" s="90" t="str">
        <f>IF(D5&lt;&gt;0,H5," ")</f>
        <v xml:space="preserve"> </v>
      </c>
      <c r="S3" s="223" t="str">
        <f>IF(D6&lt;&gt;0,D6," ")</f>
        <v xml:space="preserve"> </v>
      </c>
      <c r="T3" s="224" t="str">
        <f>IF(D6&lt;&gt;0,F6," ")</f>
        <v xml:space="preserve"> </v>
      </c>
      <c r="U3" s="224" t="str">
        <f>IF(D6&lt;&gt;0,E6," ")</f>
        <v xml:space="preserve"> </v>
      </c>
      <c r="V3" s="225" t="str">
        <f>IF(D6&lt;&gt;0,IF(T3&lt;U3,"3",IF(T3&gt;U3,"0","1")),"")</f>
        <v/>
      </c>
      <c r="W3" s="227" t="str">
        <f>IF(D6&lt;&gt;0,H6," ")</f>
        <v xml:space="preserve"> </v>
      </c>
      <c r="X3" s="12" t="str">
        <f>IF(D7&lt;&gt;0,D7," ")</f>
        <v xml:space="preserve"> </v>
      </c>
      <c r="Y3" s="18" t="str">
        <f>IF(D7&lt;&gt;0,F7," ")</f>
        <v xml:space="preserve"> </v>
      </c>
      <c r="Z3" s="90" t="str">
        <f>IF(D7&lt;&gt;0,E7," ")</f>
        <v xml:space="preserve"> </v>
      </c>
      <c r="AA3" s="16" t="str">
        <f>IF(D7&lt;&gt;0,IF(Y3&lt;Z3,"3",IF(Y3&gt;Z3,"0","1")),"")</f>
        <v/>
      </c>
      <c r="AB3" s="18" t="str">
        <f>IF(D7&lt;&gt;0,H7," ")</f>
        <v xml:space="preserve"> </v>
      </c>
      <c r="AC3" s="12" t="str">
        <f>IF(D8&lt;&gt;0,D8," ")</f>
        <v xml:space="preserve"> </v>
      </c>
      <c r="AD3" s="18" t="str">
        <f>IF(D8&lt;&gt;0,F8," ")</f>
        <v xml:space="preserve"> </v>
      </c>
      <c r="AE3" s="90" t="str">
        <f>IF(D8&lt;&gt;0,E8," ")</f>
        <v xml:space="preserve"> </v>
      </c>
      <c r="AF3" s="16" t="str">
        <f>IF(D8&lt;&gt;0,IF(AD3&lt;AE3,"3",IF(AD3&gt;AE3,"0","1")),"")</f>
        <v/>
      </c>
      <c r="AG3" s="18" t="str">
        <f>IF(D8&lt;&gt;0,H8," ")</f>
        <v xml:space="preserve"> </v>
      </c>
      <c r="AH3" s="12" t="str">
        <f>IF(D9&lt;&gt;0,D9," ")</f>
        <v xml:space="preserve"> </v>
      </c>
      <c r="AI3" s="18" t="str">
        <f>IF(D9&lt;&gt;0,F9," ")</f>
        <v xml:space="preserve"> </v>
      </c>
      <c r="AJ3" s="19" t="str">
        <f>IF(D9&lt;&gt;0,E9," ")</f>
        <v xml:space="preserve"> </v>
      </c>
      <c r="AK3" s="16" t="str">
        <f>IF(D9&lt;&gt;0,IF(AI3&lt;AJ3,"3",IF(AI3&gt;AJ3,"0","1")),"")</f>
        <v/>
      </c>
      <c r="AL3" s="18" t="str">
        <f>IF(D9&lt;&gt;0,H9," ")</f>
        <v xml:space="preserve"> </v>
      </c>
      <c r="AM3" s="12" t="str">
        <f>IF(D10&lt;&gt;0,D10," ")</f>
        <v xml:space="preserve"> </v>
      </c>
      <c r="AN3" s="18" t="str">
        <f>IF(D10&lt;&gt;0,F10," ")</f>
        <v xml:space="preserve"> </v>
      </c>
      <c r="AO3" s="19" t="str">
        <f>IF(D10&lt;&gt;0,E10," ")</f>
        <v xml:space="preserve"> </v>
      </c>
      <c r="AP3" s="16" t="str">
        <f>IF(D10&lt;&gt;0,IF(AN3&lt;AO3,"3",IF(AN3&gt;AO3,"0","1")),"")</f>
        <v/>
      </c>
      <c r="AQ3" s="18" t="str">
        <f>IF(D10&lt;&gt;0,H10," ")</f>
        <v xml:space="preserve"> </v>
      </c>
      <c r="AR3" s="12" t="str">
        <f>IF(D11&lt;&gt;0,D11," ")</f>
        <v xml:space="preserve"> </v>
      </c>
      <c r="AS3" s="18" t="str">
        <f>IF(D11&lt;&gt;0,F11," ")</f>
        <v xml:space="preserve"> </v>
      </c>
      <c r="AT3" s="19" t="str">
        <f>IF(D11&lt;&gt;0,E11," ")</f>
        <v xml:space="preserve"> </v>
      </c>
      <c r="AU3" s="16" t="str">
        <f>IF(D11&lt;&gt;0,IF(AS3&lt;AT3,"3",IF(AS3&gt;AT3,"0","1")),"")</f>
        <v/>
      </c>
      <c r="AV3" s="18" t="str">
        <f>IF(D11&lt;&gt;0,H11," ")</f>
        <v xml:space="preserve"> </v>
      </c>
      <c r="AW3" s="12" t="str">
        <f>IF(D12&lt;&gt;0,D12," ")</f>
        <v xml:space="preserve"> </v>
      </c>
      <c r="AX3" s="18" t="str">
        <f>IF(D12&lt;&gt;0,F12," ")</f>
        <v xml:space="preserve"> </v>
      </c>
      <c r="AY3" s="19" t="str">
        <f>IF(D12&lt;&gt;0,E12," ")</f>
        <v xml:space="preserve"> </v>
      </c>
      <c r="AZ3" s="16" t="str">
        <f>IF(D12&lt;&gt;0,IF(AX3&lt;AY3,"3",IF(AX3&gt;AY3,"0","1")),"")</f>
        <v/>
      </c>
      <c r="BA3" s="18" t="str">
        <f>IF(D12&lt;&gt;0,H12," ")</f>
        <v xml:space="preserve"> </v>
      </c>
      <c r="BB3" s="12" t="str">
        <f>IF(D13&lt;&gt;0,D13," ")</f>
        <v xml:space="preserve"> </v>
      </c>
      <c r="BC3" s="18" t="str">
        <f>IF(D13&lt;&gt;0,F13," ")</f>
        <v xml:space="preserve"> </v>
      </c>
      <c r="BD3" s="19" t="str">
        <f>IF(D13&lt;&gt;0,E13," ")</f>
        <v xml:space="preserve"> </v>
      </c>
      <c r="BE3" s="16" t="str">
        <f>IF(D13&lt;&gt;0,IF(BC3&lt;BD3,"3",IF(BC3&gt;BD3,"0","1")),"")</f>
        <v/>
      </c>
      <c r="BF3" s="18" t="str">
        <f>IF(D13&lt;&gt;0,H13," ")</f>
        <v xml:space="preserve"> </v>
      </c>
      <c r="BG3" s="12" t="str">
        <f>IF(D14&lt;&gt;0,D14," ")</f>
        <v xml:space="preserve"> </v>
      </c>
      <c r="BH3" s="18" t="str">
        <f>IF(D14&lt;&gt;0,F14," ")</f>
        <v xml:space="preserve"> </v>
      </c>
      <c r="BI3" s="19" t="str">
        <f>IF(D14&lt;&gt;0,E14," ")</f>
        <v xml:space="preserve"> </v>
      </c>
      <c r="BJ3" s="16" t="str">
        <f>IF(D14&lt;&gt;0,IF(BH3&lt;BI3,"3",IF(BH3&gt;BI3,"0","1")),"")</f>
        <v/>
      </c>
      <c r="BK3" s="18" t="str">
        <f>IF(D14&lt;&gt;0,H14," ")</f>
        <v xml:space="preserve"> </v>
      </c>
    </row>
    <row r="4" spans="1:63" x14ac:dyDescent="0.25">
      <c r="A4" s="143" t="s">
        <v>306</v>
      </c>
      <c r="B4" s="240">
        <v>2</v>
      </c>
      <c r="C4" s="142" t="s">
        <v>165</v>
      </c>
      <c r="D4" s="220">
        <v>44765</v>
      </c>
      <c r="E4" s="221">
        <v>3</v>
      </c>
      <c r="F4" s="221">
        <v>2</v>
      </c>
      <c r="G4" s="222" t="str">
        <f>IF(D4&lt;&gt;0,IF(E4&lt;F4,"3",IF(E4&gt;F4,"0","1")),"")</f>
        <v>0</v>
      </c>
      <c r="H4" s="222">
        <v>1</v>
      </c>
      <c r="I4" s="243" t="s">
        <v>66</v>
      </c>
      <c r="J4" s="243"/>
      <c r="K4" s="243"/>
      <c r="L4" s="243"/>
      <c r="M4" s="243"/>
      <c r="N4" s="12" t="str">
        <f>IF(I5&lt;&gt;0,I5," ")</f>
        <v xml:space="preserve"> </v>
      </c>
      <c r="O4" s="18" t="str">
        <f>IF(I5&lt;&gt;0,K5," ")</f>
        <v xml:space="preserve"> </v>
      </c>
      <c r="P4" s="19" t="str">
        <f>IF(I5&lt;&gt;0,J5," ")</f>
        <v xml:space="preserve"> </v>
      </c>
      <c r="Q4" s="16" t="str">
        <f>IF(I5&lt;&gt;0,IF(O4&lt;P4,"3",IF(O4&gt;P4,"0","1")),"")</f>
        <v/>
      </c>
      <c r="R4" s="18" t="str">
        <f>IF(I5&lt;&gt;0,M5," ")</f>
        <v xml:space="preserve"> </v>
      </c>
      <c r="S4" s="12" t="str">
        <f>IF(I6&lt;&gt;0,I6," ")</f>
        <v xml:space="preserve"> </v>
      </c>
      <c r="T4" s="18" t="str">
        <f>IF(I6&lt;&gt;0,K6," ")</f>
        <v xml:space="preserve"> </v>
      </c>
      <c r="U4" s="19" t="str">
        <f>IF(I6&lt;&gt;0,J6," ")</f>
        <v xml:space="preserve"> </v>
      </c>
      <c r="V4" s="16" t="str">
        <f>IF(I6&lt;&gt;0,IF(T4&lt;U4,"3",IF(T4&gt;U4,"0","1")),"")</f>
        <v/>
      </c>
      <c r="W4" s="18" t="str">
        <f>IF(I6&lt;&gt;0,M6," ")</f>
        <v xml:space="preserve"> </v>
      </c>
      <c r="X4" s="226" t="str">
        <f>IF(I7&lt;&gt;0,I7," ")</f>
        <v xml:space="preserve"> </v>
      </c>
      <c r="Y4" s="227" t="str">
        <f>IF(I7&lt;&gt;0,K7," ")</f>
        <v xml:space="preserve"> </v>
      </c>
      <c r="Z4" s="224" t="str">
        <f>IF(I7&lt;&gt;0,J7," ")</f>
        <v xml:space="preserve"> </v>
      </c>
      <c r="AA4" s="225" t="str">
        <f>IF(I7&lt;&gt;0,IF(Y4&lt;Z4,"3",IF(Y4&gt;Z4,"0","1")),"")</f>
        <v/>
      </c>
      <c r="AB4" s="227" t="str">
        <f>IF(I7&lt;&gt;0,M7," ")</f>
        <v xml:space="preserve"> </v>
      </c>
      <c r="AC4" s="12" t="str">
        <f>IF(I8&lt;&gt;0,I8," ")</f>
        <v xml:space="preserve"> </v>
      </c>
      <c r="AD4" s="18" t="str">
        <f>IF(I8&lt;&gt;0,K8," ")</f>
        <v xml:space="preserve"> </v>
      </c>
      <c r="AE4" s="18" t="str">
        <f>IF(I8&lt;&gt;0,J8," ")</f>
        <v xml:space="preserve"> </v>
      </c>
      <c r="AF4" s="16" t="str">
        <f>IF(I8&lt;&gt;0,IF(AD4&lt;AE4,"3",IF(AD4&gt;AE4,"0","1")),"")</f>
        <v/>
      </c>
      <c r="AG4" s="18" t="str">
        <f>IF(I8&lt;&gt;0,M8," ")</f>
        <v xml:space="preserve"> </v>
      </c>
      <c r="AH4" s="12" t="str">
        <f>IF(I9&lt;&gt;0,I9," ")</f>
        <v xml:space="preserve"> </v>
      </c>
      <c r="AI4" s="18" t="str">
        <f>IF(I9&lt;&gt;0,K9," ")</f>
        <v xml:space="preserve"> </v>
      </c>
      <c r="AJ4" s="19" t="str">
        <f>IF(I9&lt;&gt;0,J9," ")</f>
        <v xml:space="preserve"> </v>
      </c>
      <c r="AK4" s="16" t="str">
        <f>IF(I9&lt;&gt;0,IF(AI4&lt;AJ4,"3",IF(AI4&gt;AJ4,"0","1")),"")</f>
        <v/>
      </c>
      <c r="AL4" s="18" t="str">
        <f>IF(I9&lt;&gt;0,M9," ")</f>
        <v xml:space="preserve"> </v>
      </c>
      <c r="AM4" s="12" t="str">
        <f>IF(I10&lt;&gt;0,I10," ")</f>
        <v xml:space="preserve"> </v>
      </c>
      <c r="AN4" s="18" t="str">
        <f>IF(I10&lt;&gt;0,K10," ")</f>
        <v xml:space="preserve"> </v>
      </c>
      <c r="AO4" s="18" t="str">
        <f>IF(I10&lt;&gt;0,J10," ")</f>
        <v xml:space="preserve"> </v>
      </c>
      <c r="AP4" s="16" t="str">
        <f>IF(I10&lt;&gt;0,IF(AN4&lt;AO4,"3",IF(AN4&gt;AO4,"0","1")),"")</f>
        <v/>
      </c>
      <c r="AQ4" s="18" t="str">
        <f>IF(I10&lt;&gt;0,M10," ")</f>
        <v xml:space="preserve"> </v>
      </c>
      <c r="AR4" s="12" t="str">
        <f>IF(I11&lt;&gt;0,I11," ")</f>
        <v xml:space="preserve"> </v>
      </c>
      <c r="AS4" s="18" t="str">
        <f>IF(I11&lt;&gt;0,K11," ")</f>
        <v xml:space="preserve"> </v>
      </c>
      <c r="AT4" s="18" t="str">
        <f>IF(I11&lt;&gt;0,J11," ")</f>
        <v xml:space="preserve"> </v>
      </c>
      <c r="AU4" s="16" t="str">
        <f>IF(I11&lt;&gt;0,IF(AS4&lt;AT4,"3",IF(AS4&gt;AT4,"0","1")),"")</f>
        <v/>
      </c>
      <c r="AV4" s="18" t="str">
        <f>IF(I11&lt;&gt;0,M11," ")</f>
        <v xml:space="preserve"> </v>
      </c>
      <c r="AW4" s="12" t="str">
        <f>IF(I12&lt;&gt;0,I12," ")</f>
        <v xml:space="preserve"> </v>
      </c>
      <c r="AX4" s="18" t="str">
        <f>IF(I12&lt;&gt;0,K12," ")</f>
        <v xml:space="preserve"> </v>
      </c>
      <c r="AY4" s="18" t="str">
        <f>IF(I12&lt;&gt;0,J12," ")</f>
        <v xml:space="preserve"> </v>
      </c>
      <c r="AZ4" s="16" t="str">
        <f>IF(I12&lt;&gt;0,IF(AX4&lt;AY4,"3",IF(AX4&gt;AY4,"0","1")),"")</f>
        <v/>
      </c>
      <c r="BA4" s="18" t="str">
        <f>IF(I12&lt;&gt;0,M12," ")</f>
        <v xml:space="preserve"> </v>
      </c>
      <c r="BB4" s="12" t="str">
        <f>IF(I13&lt;&gt;0,I13," ")</f>
        <v xml:space="preserve"> </v>
      </c>
      <c r="BC4" s="18" t="str">
        <f>IF(I13&lt;&gt;0,K13," ")</f>
        <v xml:space="preserve"> </v>
      </c>
      <c r="BD4" s="19" t="str">
        <f>IF(I13&lt;&gt;0,J13," ")</f>
        <v xml:space="preserve"> </v>
      </c>
      <c r="BE4" s="16" t="str">
        <f>IF(I13&lt;&gt;0,IF(BC4&lt;BD4,"3",IF(BC4&gt;BD4,"0","1")),"")</f>
        <v/>
      </c>
      <c r="BF4" s="18" t="str">
        <f>IF(I13&lt;&gt;0,M13," ")</f>
        <v xml:space="preserve"> </v>
      </c>
      <c r="BG4" s="12" t="str">
        <f>IF(I14&lt;&gt;0,I14," ")</f>
        <v xml:space="preserve"> </v>
      </c>
      <c r="BH4" s="18" t="str">
        <f>IF(I14&lt;&gt;0,K14," ")</f>
        <v xml:space="preserve"> </v>
      </c>
      <c r="BI4" s="19" t="str">
        <f>IF(I14&lt;&gt;0,J14," ")</f>
        <v xml:space="preserve"> </v>
      </c>
      <c r="BJ4" s="16" t="str">
        <f>IF(I14&lt;&gt;0,IF(BH4&lt;BI4,"3",IF(BH4&gt;BI4,"0","1")),"")</f>
        <v/>
      </c>
      <c r="BK4" s="18" t="str">
        <f>IF(I14&lt;&gt;0,M14," ")</f>
        <v xml:space="preserve"> </v>
      </c>
    </row>
    <row r="5" spans="1:63" x14ac:dyDescent="0.25">
      <c r="A5" s="143" t="s">
        <v>235</v>
      </c>
      <c r="B5" s="230">
        <v>3</v>
      </c>
      <c r="C5" s="110" t="s">
        <v>217</v>
      </c>
      <c r="D5" s="93"/>
      <c r="E5" s="94"/>
      <c r="F5" s="94"/>
      <c r="G5" s="95" t="str">
        <f t="shared" ref="G5:G14" si="0">IF(D5&lt;&gt;0,IF(E5&lt;F5,"3",IF(E5&gt;F5,"0","1")),"")</f>
        <v/>
      </c>
      <c r="H5" s="95"/>
      <c r="I5" s="93"/>
      <c r="J5" s="94"/>
      <c r="K5" s="94"/>
      <c r="L5" s="95" t="str">
        <f>IF(I5&lt;&gt;0,IF(J5&lt;K5,"3",IF(J5&gt;K5,"0","1")),"")</f>
        <v/>
      </c>
      <c r="M5" s="95"/>
      <c r="N5" s="243" t="s">
        <v>66</v>
      </c>
      <c r="O5" s="243"/>
      <c r="P5" s="243"/>
      <c r="Q5" s="243"/>
      <c r="R5" s="243"/>
      <c r="S5" s="226">
        <f>IF(N6&lt;&gt;0,N6," ")</f>
        <v>44765</v>
      </c>
      <c r="T5" s="227">
        <f>IF(N6&lt;&gt;0,P6," ")</f>
        <v>2</v>
      </c>
      <c r="U5" s="224">
        <f>IF(N6&lt;&gt;0,O6," ")</f>
        <v>2</v>
      </c>
      <c r="V5" s="225" t="str">
        <f>IF(N6&lt;&gt;0,IF(T5&lt;U5,"3",IF(T5&gt;U5,"0","1")),"")</f>
        <v>1</v>
      </c>
      <c r="W5" s="227">
        <f>IF(N6&lt;&gt;0,R6," ")</f>
        <v>4</v>
      </c>
      <c r="X5" s="12" t="str">
        <f>IF(N7&lt;&gt;0,N7," ")</f>
        <v xml:space="preserve"> </v>
      </c>
      <c r="Y5" s="18" t="str">
        <f>IF(N7&lt;&gt;0,P7," ")</f>
        <v xml:space="preserve"> </v>
      </c>
      <c r="Z5" s="19" t="str">
        <f>IF(N7&lt;&gt;0,O7," ")</f>
        <v xml:space="preserve"> </v>
      </c>
      <c r="AA5" s="16" t="str">
        <f>IF(N7&lt;&gt;0,IF(Y5&lt;Z5,"3",IF(Y5&gt;Z5,"0","1")),"")</f>
        <v/>
      </c>
      <c r="AB5" s="18" t="str">
        <f>IF(N7&lt;&gt;0,R7," ")</f>
        <v xml:space="preserve"> </v>
      </c>
      <c r="AC5" s="12" t="str">
        <f>IF(N8&lt;&gt;0,N8," ")</f>
        <v xml:space="preserve"> </v>
      </c>
      <c r="AD5" s="18" t="str">
        <f>IF(N8&lt;&gt;0,P8," ")</f>
        <v xml:space="preserve"> </v>
      </c>
      <c r="AE5" s="18" t="str">
        <f>IF(N8&lt;&gt;0,O8," ")</f>
        <v xml:space="preserve"> </v>
      </c>
      <c r="AF5" s="16" t="str">
        <f>IF(N8&lt;&gt;0,IF(AD5&lt;AE5,"3",IF(AD5&gt;AE5,"0","1")),"")</f>
        <v/>
      </c>
      <c r="AG5" s="18" t="str">
        <f>IF(N8&lt;&gt;0,R8," ")</f>
        <v xml:space="preserve"> </v>
      </c>
      <c r="AH5" s="12" t="str">
        <f>IF(N9&lt;&gt;0,N9," ")</f>
        <v xml:space="preserve"> </v>
      </c>
      <c r="AI5" s="18" t="str">
        <f>IF(N9&lt;&gt;0,P9," ")</f>
        <v xml:space="preserve"> </v>
      </c>
      <c r="AJ5" s="19" t="str">
        <f>IF(N9&lt;&gt;0,O9," ")</f>
        <v xml:space="preserve"> </v>
      </c>
      <c r="AK5" s="16" t="str">
        <f>IF(N9&lt;&gt;0,IF(AI5&lt;AJ5,"3",IF(AI5&gt;AJ5,"0","1")),"")</f>
        <v/>
      </c>
      <c r="AL5" s="18" t="str">
        <f>IF(N9&lt;&gt;0,R9," ")</f>
        <v xml:space="preserve"> </v>
      </c>
      <c r="AM5" s="12" t="str">
        <f>IF(N10&lt;&gt;0,N10," ")</f>
        <v xml:space="preserve"> </v>
      </c>
      <c r="AN5" s="18" t="str">
        <f>IF(N10&lt;&gt;0,P10," ")</f>
        <v xml:space="preserve"> </v>
      </c>
      <c r="AO5" s="19" t="str">
        <f>IF(N10&lt;&gt;0,O10," ")</f>
        <v xml:space="preserve"> </v>
      </c>
      <c r="AP5" s="16" t="str">
        <f>IF(N10&lt;&gt;0,IF(AN5&lt;AO5,"3",IF(AN5&gt;AO5,"0","1")),"")</f>
        <v/>
      </c>
      <c r="AQ5" s="18" t="str">
        <f>IF(N10&lt;&gt;0,R10," ")</f>
        <v xml:space="preserve"> </v>
      </c>
      <c r="AR5" s="12" t="str">
        <f>IF(N11&lt;&gt;0,N11," ")</f>
        <v xml:space="preserve"> </v>
      </c>
      <c r="AS5" s="18" t="str">
        <f>IF(N11&lt;&gt;0,P11," ")</f>
        <v xml:space="preserve"> </v>
      </c>
      <c r="AT5" s="19" t="str">
        <f>IF(N11&lt;&gt;0,O11," ")</f>
        <v xml:space="preserve"> </v>
      </c>
      <c r="AU5" s="16" t="str">
        <f>IF(N11&lt;&gt;0,IF(AS5&lt;AT5,"3",IF(AS5&gt;AT5,"0","1")),"")</f>
        <v/>
      </c>
      <c r="AV5" s="18" t="str">
        <f>IF(N11&lt;&gt;0,R11," ")</f>
        <v xml:space="preserve"> </v>
      </c>
      <c r="AW5" s="12" t="str">
        <f>IF(N12&lt;&gt;0,N12," ")</f>
        <v xml:space="preserve"> </v>
      </c>
      <c r="AX5" s="18" t="str">
        <f>IF(N12&lt;&gt;0,P12," ")</f>
        <v xml:space="preserve"> </v>
      </c>
      <c r="AY5" s="18" t="str">
        <f>IF(N12&lt;&gt;0,O12," ")</f>
        <v xml:space="preserve"> </v>
      </c>
      <c r="AZ5" s="16" t="str">
        <f>IF(N12&lt;&gt;0,IF(AX5&lt;AY5,"3",IF(AX5&gt;AY5,"0","1")),"")</f>
        <v/>
      </c>
      <c r="BA5" s="18" t="str">
        <f>IF(N12&lt;&gt;0,R12," ")</f>
        <v xml:space="preserve"> </v>
      </c>
      <c r="BB5" s="12" t="str">
        <f>IF(N13&lt;&gt;0,N13," ")</f>
        <v xml:space="preserve"> </v>
      </c>
      <c r="BC5" s="18" t="str">
        <f>IF(N13&lt;&gt;0,P13," ")</f>
        <v xml:space="preserve"> </v>
      </c>
      <c r="BD5" s="19" t="str">
        <f>IF(N13&lt;&gt;0,O13," ")</f>
        <v xml:space="preserve"> </v>
      </c>
      <c r="BE5" s="16" t="str">
        <f>IF(N13&lt;&gt;0,IF(BC5&lt;BD5,"3",IF(BC5&gt;BD5,"0","1")),"")</f>
        <v/>
      </c>
      <c r="BF5" s="18" t="str">
        <f>IF(N13&lt;&gt;0,R13," ")</f>
        <v xml:space="preserve"> </v>
      </c>
      <c r="BG5" s="12" t="str">
        <f>IF(N14&lt;&gt;0,N14," ")</f>
        <v xml:space="preserve"> </v>
      </c>
      <c r="BH5" s="18" t="str">
        <f>IF(N14&lt;&gt;0,P14," ")</f>
        <v xml:space="preserve"> </v>
      </c>
      <c r="BI5" s="19" t="str">
        <f>IF(N14&lt;&gt;0,O14," ")</f>
        <v xml:space="preserve"> </v>
      </c>
      <c r="BJ5" s="16" t="str">
        <f>IF(N14&lt;&gt;0,IF(BH5&lt;BI5,"3",IF(BH5&gt;BI5,"0","1")),"")</f>
        <v/>
      </c>
      <c r="BK5" s="18" t="str">
        <f>IF(N14&lt;&gt;0,R14," ")</f>
        <v xml:space="preserve"> </v>
      </c>
    </row>
    <row r="6" spans="1:63" x14ac:dyDescent="0.25">
      <c r="A6" s="143" t="s">
        <v>307</v>
      </c>
      <c r="B6" s="240">
        <v>4</v>
      </c>
      <c r="C6" s="110" t="s">
        <v>206</v>
      </c>
      <c r="D6" s="220"/>
      <c r="E6" s="221"/>
      <c r="F6" s="221"/>
      <c r="G6" s="222" t="str">
        <f t="shared" si="0"/>
        <v/>
      </c>
      <c r="H6" s="222"/>
      <c r="I6" s="93"/>
      <c r="J6" s="94"/>
      <c r="K6" s="94"/>
      <c r="L6" s="95" t="str">
        <f t="shared" ref="L6:L14" si="1">IF(I6&lt;&gt;0,IF(J6&lt;K6,"3",IF(J6&gt;K6,"0","1")),"")</f>
        <v/>
      </c>
      <c r="M6" s="95"/>
      <c r="N6" s="220">
        <v>44765</v>
      </c>
      <c r="O6" s="221">
        <v>2</v>
      </c>
      <c r="P6" s="221">
        <v>2</v>
      </c>
      <c r="Q6" s="222" t="str">
        <f>IF(N6&lt;&gt;0,IF(O6&lt;P6,"3",IF(O6&gt;P6,"0","1")),"")</f>
        <v>1</v>
      </c>
      <c r="R6" s="222">
        <v>4</v>
      </c>
      <c r="S6" s="243" t="s">
        <v>66</v>
      </c>
      <c r="T6" s="243"/>
      <c r="U6" s="243"/>
      <c r="V6" s="243"/>
      <c r="W6" s="243"/>
      <c r="X6" s="12" t="str">
        <f>IF(S7&lt;&gt;0,S7," ")</f>
        <v xml:space="preserve"> </v>
      </c>
      <c r="Y6" s="18" t="str">
        <f>IF(S7&lt;&gt;0,U7," ")</f>
        <v xml:space="preserve"> </v>
      </c>
      <c r="Z6" s="18" t="str">
        <f>IF(S7&lt;&gt;0,T7," ")</f>
        <v xml:space="preserve"> </v>
      </c>
      <c r="AA6" s="16" t="str">
        <f>IF(S7&lt;&gt;0,IF(Y6&lt;Z6,"3",IF(Y6&gt;Z6,"0","1")),"")</f>
        <v/>
      </c>
      <c r="AB6" s="18" t="str">
        <f>IF(S7&lt;&gt;0,W7," ")</f>
        <v xml:space="preserve"> </v>
      </c>
      <c r="AC6" s="12" t="str">
        <f>IF(S8&lt;&gt;0,S8," ")</f>
        <v xml:space="preserve"> </v>
      </c>
      <c r="AD6" s="18" t="str">
        <f>IF(S8&lt;&gt;0,U8," ")</f>
        <v xml:space="preserve"> </v>
      </c>
      <c r="AE6" s="19" t="str">
        <f>IF(S8&lt;&gt;0,T8," ")</f>
        <v xml:space="preserve"> </v>
      </c>
      <c r="AF6" s="16" t="str">
        <f>IF(S8&lt;&gt;0,IF(AD6&lt;AE6,"3",IF(AD6&gt;AE6,"0","1")),"")</f>
        <v/>
      </c>
      <c r="AG6" s="18" t="str">
        <f>IF(S8&lt;&gt;0,W8," ")</f>
        <v xml:space="preserve"> </v>
      </c>
      <c r="AH6" s="12" t="str">
        <f>IF(S9&lt;&gt;0,S9," ")</f>
        <v xml:space="preserve"> </v>
      </c>
      <c r="AI6" s="18" t="str">
        <f>IF(S9&lt;&gt;0,U9," ")</f>
        <v xml:space="preserve"> </v>
      </c>
      <c r="AJ6" s="19" t="str">
        <f>IF(S9&lt;&gt;0,T9," ")</f>
        <v xml:space="preserve"> </v>
      </c>
      <c r="AK6" s="16" t="str">
        <f>IF(S9&lt;&gt;0,IF(AI6&lt;AJ6,"3",IF(AI6&gt;AJ6,"0","1")),"")</f>
        <v/>
      </c>
      <c r="AL6" s="18" t="str">
        <f>IF(S9&lt;&gt;0,W9," ")</f>
        <v xml:space="preserve"> </v>
      </c>
      <c r="AM6" s="12" t="str">
        <f>IF(S10&lt;&gt;0,S10," ")</f>
        <v xml:space="preserve"> </v>
      </c>
      <c r="AN6" s="18" t="str">
        <f>IF(S10&lt;&gt;0,U10," ")</f>
        <v xml:space="preserve"> </v>
      </c>
      <c r="AO6" s="19" t="str">
        <f>IF(S10&lt;&gt;0,T10," ")</f>
        <v xml:space="preserve"> </v>
      </c>
      <c r="AP6" s="16" t="str">
        <f>IF(S10&lt;&gt;0,IF(AN6&lt;AO6,"3",IF(AN6&gt;AO6,"0","1")),"")</f>
        <v/>
      </c>
      <c r="AQ6" s="18" t="str">
        <f>IF(S10&lt;&gt;0,W10," ")</f>
        <v xml:space="preserve"> </v>
      </c>
      <c r="AR6" s="12" t="str">
        <f>IF(S11&lt;&gt;0,S11," ")</f>
        <v xml:space="preserve"> </v>
      </c>
      <c r="AS6" s="18" t="str">
        <f>IF(S11&lt;&gt;0,U11," ")</f>
        <v xml:space="preserve"> </v>
      </c>
      <c r="AT6" s="18" t="str">
        <f>IF(S11&lt;&gt;0,T11," ")</f>
        <v xml:space="preserve"> </v>
      </c>
      <c r="AU6" s="16" t="str">
        <f>IF(S11&lt;&gt;0,IF(AS6&lt;AT6,"3",IF(AS6&gt;AT6,"0","1")),"")</f>
        <v/>
      </c>
      <c r="AV6" s="18" t="str">
        <f>IF(S11&lt;&gt;0,W11," ")</f>
        <v xml:space="preserve"> </v>
      </c>
      <c r="AW6" s="12" t="str">
        <f>IF(S12&lt;&gt;0,S12," ")</f>
        <v xml:space="preserve"> </v>
      </c>
      <c r="AX6" s="18" t="str">
        <f>IF(S12&lt;&gt;0,U12," ")</f>
        <v xml:space="preserve"> </v>
      </c>
      <c r="AY6" s="18" t="str">
        <f>IF(S12&lt;&gt;0,T12," ")</f>
        <v xml:space="preserve"> </v>
      </c>
      <c r="AZ6" s="16" t="str">
        <f>IF(S12&lt;&gt;0,IF(AX6&lt;AY6,"3",IF(AX6&gt;AY6,"0","1")),"")</f>
        <v/>
      </c>
      <c r="BA6" s="18" t="str">
        <f>IF(S12&lt;&gt;0,W12," ")</f>
        <v xml:space="preserve"> </v>
      </c>
      <c r="BB6" s="12" t="str">
        <f>IF(S13&lt;&gt;0,S13," ")</f>
        <v xml:space="preserve"> </v>
      </c>
      <c r="BC6" s="18" t="str">
        <f>IF(S13&lt;&gt;0,U13," ")</f>
        <v xml:space="preserve"> </v>
      </c>
      <c r="BD6" s="19" t="str">
        <f>IF(S13&lt;&gt;0,T13," ")</f>
        <v xml:space="preserve"> </v>
      </c>
      <c r="BE6" s="16" t="str">
        <f>IF(S13&lt;&gt;0,IF(BC6&lt;BD6,"3",IF(BC6&gt;BD6,"0","1")),"")</f>
        <v/>
      </c>
      <c r="BF6" s="18" t="str">
        <f>IF(S13&lt;&gt;0,W13," ")</f>
        <v xml:space="preserve"> </v>
      </c>
      <c r="BG6" s="12" t="str">
        <f>IF(S14&lt;&gt;0,S14," ")</f>
        <v xml:space="preserve"> </v>
      </c>
      <c r="BH6" s="18" t="str">
        <f>IF(S14&lt;&gt;0,U14," ")</f>
        <v xml:space="preserve"> </v>
      </c>
      <c r="BI6" s="19" t="str">
        <f>IF(S14&lt;&gt;0,T14," ")</f>
        <v xml:space="preserve"> </v>
      </c>
      <c r="BJ6" s="16" t="str">
        <f>IF(S14&lt;&gt;0,IF(BH6&lt;BI6,"3",IF(BH6&gt;BI6,"0","1")),"")</f>
        <v/>
      </c>
      <c r="BK6" s="18" t="str">
        <f>IF(S14&lt;&gt;0,W14," ")</f>
        <v xml:space="preserve"> </v>
      </c>
    </row>
    <row r="7" spans="1:63" x14ac:dyDescent="0.25">
      <c r="A7" s="143"/>
      <c r="B7" s="240">
        <v>5</v>
      </c>
      <c r="C7" s="110" t="s">
        <v>174</v>
      </c>
      <c r="D7" s="93"/>
      <c r="E7" s="94"/>
      <c r="F7" s="94"/>
      <c r="G7" s="95" t="str">
        <f t="shared" si="0"/>
        <v/>
      </c>
      <c r="H7" s="95"/>
      <c r="I7" s="220"/>
      <c r="J7" s="221"/>
      <c r="K7" s="221"/>
      <c r="L7" s="222" t="str">
        <f t="shared" si="1"/>
        <v/>
      </c>
      <c r="M7" s="222"/>
      <c r="N7" s="93"/>
      <c r="O7" s="94"/>
      <c r="P7" s="94"/>
      <c r="Q7" s="95" t="str">
        <f t="shared" ref="Q7:Q14" si="2">IF(N7&lt;&gt;0,IF(O7&lt;P7,"3",IF(O7&gt;P7,"0","1")),"")</f>
        <v/>
      </c>
      <c r="R7" s="95"/>
      <c r="S7" s="93"/>
      <c r="T7" s="94"/>
      <c r="U7" s="94"/>
      <c r="V7" s="95" t="str">
        <f>IF(S7&lt;&gt;0,IF(T7&lt;U7,"3",IF(T7&gt;U7,"0","1")),"")</f>
        <v/>
      </c>
      <c r="W7" s="95"/>
      <c r="X7" s="243" t="s">
        <v>66</v>
      </c>
      <c r="Y7" s="243"/>
      <c r="Z7" s="243"/>
      <c r="AA7" s="243"/>
      <c r="AB7" s="243"/>
      <c r="AC7" s="12" t="str">
        <f>IF(X8&lt;&gt;0,X8," ")</f>
        <v xml:space="preserve"> </v>
      </c>
      <c r="AD7" s="18" t="str">
        <f>IF(X8&lt;&gt;0,Z8," ")</f>
        <v xml:space="preserve"> </v>
      </c>
      <c r="AE7" s="19" t="str">
        <f>IF(X8&lt;&gt;0,Y8," ")</f>
        <v xml:space="preserve"> </v>
      </c>
      <c r="AF7" s="16" t="str">
        <f>IF(X8&lt;&gt;0,IF(AD7&lt;AE7,"3",IF(AD7&gt;AE7,"0","1")),"")</f>
        <v/>
      </c>
      <c r="AG7" s="18" t="str">
        <f>IF(X8&lt;&gt;0,AB8," ")</f>
        <v xml:space="preserve"> </v>
      </c>
      <c r="AH7" s="12" t="str">
        <f>IF(X9&lt;&gt;0,X9," ")</f>
        <v xml:space="preserve"> </v>
      </c>
      <c r="AI7" s="18" t="str">
        <f>IF(X9&lt;&gt;0,Z9," ")</f>
        <v xml:space="preserve"> </v>
      </c>
      <c r="AJ7" s="18" t="str">
        <f>IF(X9&lt;&gt;0,Y9," ")</f>
        <v xml:space="preserve"> </v>
      </c>
      <c r="AK7" s="16" t="str">
        <f>IF(X9&lt;&gt;0,IF(AI7&lt;AJ7,"3",IF(AI7&gt;AJ7,"0","1")),"")</f>
        <v/>
      </c>
      <c r="AL7" s="18" t="str">
        <f>IF(X9&lt;&gt;0,AB9," ")</f>
        <v xml:space="preserve"> </v>
      </c>
      <c r="AM7" s="12" t="str">
        <f>IF(X10&lt;&gt;0,X10," ")</f>
        <v xml:space="preserve"> </v>
      </c>
      <c r="AN7" s="18" t="str">
        <f>IF(X10&lt;&gt;0,Z10," ")</f>
        <v xml:space="preserve"> </v>
      </c>
      <c r="AO7" s="18" t="str">
        <f>IF(X10&lt;&gt;0,Y10," ")</f>
        <v xml:space="preserve"> </v>
      </c>
      <c r="AP7" s="16" t="str">
        <f>IF(X10&lt;&gt;0,IF(AN7&lt;AO7,"3",IF(AN7&gt;AO7,"0","1")),"")</f>
        <v/>
      </c>
      <c r="AQ7" s="18" t="str">
        <f>IF(X10&lt;&gt;0,AB10," ")</f>
        <v xml:space="preserve"> </v>
      </c>
      <c r="AR7" s="12" t="str">
        <f>IF(X11&lt;&gt;0,X11," ")</f>
        <v xml:space="preserve"> </v>
      </c>
      <c r="AS7" s="18" t="str">
        <f>IF(X11&lt;&gt;0,Z11," ")</f>
        <v xml:space="preserve"> </v>
      </c>
      <c r="AT7" s="18" t="str">
        <f>IF(X11&lt;&gt;0,Y11," ")</f>
        <v xml:space="preserve"> </v>
      </c>
      <c r="AU7" s="16" t="str">
        <f>IF(X11&lt;&gt;0,IF(AS7&lt;AT7,"3",IF(AS7&gt;AT7,"0","1")),"")</f>
        <v/>
      </c>
      <c r="AV7" s="18" t="str">
        <f>IF(X11&lt;&gt;0,AB11," ")</f>
        <v xml:space="preserve"> </v>
      </c>
      <c r="AW7" s="12" t="str">
        <f>IF(X12&lt;&gt;0,X12," ")</f>
        <v xml:space="preserve"> </v>
      </c>
      <c r="AX7" s="18" t="str">
        <f>IF(X12&lt;&gt;0,Z12," ")</f>
        <v xml:space="preserve"> </v>
      </c>
      <c r="AY7" s="19" t="str">
        <f>IF(X12&lt;&gt;0,Y12," ")</f>
        <v xml:space="preserve"> </v>
      </c>
      <c r="AZ7" s="16" t="str">
        <f>IF(X12&lt;&gt;0,IF(AX7&lt;AY7,"3",IF(AX7&gt;AY7,"0","1")),"")</f>
        <v/>
      </c>
      <c r="BA7" s="18" t="str">
        <f>IF(X12&lt;&gt;0,AB12," ")</f>
        <v xml:space="preserve"> </v>
      </c>
      <c r="BB7" s="12" t="str">
        <f>IF(X13&lt;&gt;0,X13," ")</f>
        <v xml:space="preserve"> </v>
      </c>
      <c r="BC7" s="18" t="str">
        <f>IF(X13&lt;&gt;0,Z13," ")</f>
        <v xml:space="preserve"> </v>
      </c>
      <c r="BD7" s="18" t="str">
        <f>IF(X13&lt;&gt;0,Y13," ")</f>
        <v xml:space="preserve"> </v>
      </c>
      <c r="BE7" s="16" t="str">
        <f>IF(X13&lt;&gt;0,IF(BC7&lt;BD7,"3",IF(BC7&gt;BD7,"0","1")),"")</f>
        <v/>
      </c>
      <c r="BF7" s="18" t="str">
        <f>IF(X13&lt;&gt;0,AB13," ")</f>
        <v xml:space="preserve"> </v>
      </c>
      <c r="BG7" s="12" t="str">
        <f>IF(X14&lt;&gt;0,X14," ")</f>
        <v xml:space="preserve"> </v>
      </c>
      <c r="BH7" s="18" t="str">
        <f>IF(X14&lt;&gt;0,Z14," ")</f>
        <v xml:space="preserve"> </v>
      </c>
      <c r="BI7" s="19" t="str">
        <f>IF(X14&lt;&gt;0,Y14," ")</f>
        <v xml:space="preserve"> </v>
      </c>
      <c r="BJ7" s="16" t="str">
        <f>IF(X14&lt;&gt;0,IF(BH7&lt;BI7,"3",IF(BH7&gt;BI7,"0","1")),"")</f>
        <v/>
      </c>
      <c r="BK7" s="18" t="str">
        <f>IF(X14&lt;&gt;0,AB14," ")</f>
        <v xml:space="preserve"> </v>
      </c>
    </row>
    <row r="8" spans="1:63" x14ac:dyDescent="0.25">
      <c r="A8" s="143"/>
      <c r="B8" s="192">
        <v>6</v>
      </c>
      <c r="C8" s="110"/>
      <c r="D8" s="93"/>
      <c r="E8" s="94"/>
      <c r="F8" s="94"/>
      <c r="G8" s="95" t="str">
        <f t="shared" si="0"/>
        <v/>
      </c>
      <c r="H8" s="95"/>
      <c r="I8" s="93"/>
      <c r="J8" s="94"/>
      <c r="K8" s="94"/>
      <c r="L8" s="95" t="str">
        <f t="shared" si="1"/>
        <v/>
      </c>
      <c r="M8" s="95"/>
      <c r="N8" s="93"/>
      <c r="O8" s="94"/>
      <c r="P8" s="94"/>
      <c r="Q8" s="95" t="str">
        <f t="shared" si="2"/>
        <v/>
      </c>
      <c r="R8" s="95"/>
      <c r="S8" s="93"/>
      <c r="T8" s="94"/>
      <c r="U8" s="94"/>
      <c r="V8" s="95" t="str">
        <f t="shared" ref="V8:V14" si="3">IF(S8&lt;&gt;0,IF(T8&lt;U8,"3",IF(T8&gt;U8,"0","1")),"")</f>
        <v/>
      </c>
      <c r="W8" s="95"/>
      <c r="X8" s="93"/>
      <c r="Y8" s="94"/>
      <c r="Z8" s="94"/>
      <c r="AA8" s="95" t="str">
        <f>IF(X8&lt;&gt;0,IF(Y8&lt;Z8,"3",IF(Y8&gt;Z8,"0","1")),"")</f>
        <v/>
      </c>
      <c r="AB8" s="95"/>
      <c r="AC8" s="243" t="s">
        <v>66</v>
      </c>
      <c r="AD8" s="243"/>
      <c r="AE8" s="243"/>
      <c r="AF8" s="243"/>
      <c r="AG8" s="243"/>
      <c r="AH8" s="12" t="str">
        <f>IF(AC9&lt;&gt;0,AC9," ")</f>
        <v xml:space="preserve"> </v>
      </c>
      <c r="AI8" s="18" t="str">
        <f>IF(AC9&lt;&gt;0,AE9," ")</f>
        <v xml:space="preserve"> </v>
      </c>
      <c r="AJ8" s="19" t="str">
        <f>IF(AC9&lt;&gt;0,AD9," ")</f>
        <v xml:space="preserve"> </v>
      </c>
      <c r="AK8" s="16" t="str">
        <f>IF(AC9&lt;&gt;0,IF(AI8&lt;AJ8,"3",IF(AI8&gt;AJ8,"0","1")),"")</f>
        <v/>
      </c>
      <c r="AL8" s="18" t="str">
        <f>IF(AC9&lt;&gt;0,AG9," ")</f>
        <v xml:space="preserve"> </v>
      </c>
      <c r="AM8" s="12" t="str">
        <f>IF(AC10&lt;&gt;0,AC10," ")</f>
        <v xml:space="preserve"> </v>
      </c>
      <c r="AN8" s="18" t="str">
        <f>IF(AC10&lt;&gt;0,AE10," ")</f>
        <v xml:space="preserve"> </v>
      </c>
      <c r="AO8" s="19" t="str">
        <f>IF(AC10&lt;&gt;0,AD10," ")</f>
        <v xml:space="preserve"> </v>
      </c>
      <c r="AP8" s="16" t="str">
        <f>IF(AC10&lt;&gt;0,IF(AN8&lt;AO8,"3",IF(AN8&gt;AO8,"0","1")),"")</f>
        <v/>
      </c>
      <c r="AQ8" s="18" t="str">
        <f>IF(AC10&lt;&gt;0,AG10," ")</f>
        <v xml:space="preserve"> </v>
      </c>
      <c r="AR8" s="12" t="str">
        <f>IF(AC11&lt;&gt;0,AC11," ")</f>
        <v xml:space="preserve"> </v>
      </c>
      <c r="AS8" s="18" t="str">
        <f>IF(AC11&lt;&gt;0,AE11," ")</f>
        <v xml:space="preserve"> </v>
      </c>
      <c r="AT8" s="18" t="str">
        <f>IF(AC11&lt;&gt;0,AD11," ")</f>
        <v xml:space="preserve"> </v>
      </c>
      <c r="AU8" s="16" t="str">
        <f>IF(AC11&lt;&gt;0,IF(AS8&lt;AT8,"3",IF(AS8&gt;AT8,"0","1")),"")</f>
        <v/>
      </c>
      <c r="AV8" s="19" t="str">
        <f>IF(AC11&lt;&gt;0,AG11," ")</f>
        <v xml:space="preserve"> </v>
      </c>
      <c r="AW8" s="12" t="str">
        <f>IF(AC12&lt;&gt;0,AC12," ")</f>
        <v xml:space="preserve"> </v>
      </c>
      <c r="AX8" s="18" t="str">
        <f>IF(AC12&lt;&gt;0,AE12," ")</f>
        <v xml:space="preserve"> </v>
      </c>
      <c r="AY8" s="19" t="str">
        <f>IF(AC12&lt;&gt;0,AD12," ")</f>
        <v xml:space="preserve"> </v>
      </c>
      <c r="AZ8" s="16" t="str">
        <f>IF(AC12&lt;&gt;0,IF(AX8&lt;AY8,"3",IF(AX8&gt;AY8,"0","1")),"")</f>
        <v/>
      </c>
      <c r="BA8" s="19" t="str">
        <f>IF(AC12&lt;&gt;0,AG12," ")</f>
        <v xml:space="preserve"> </v>
      </c>
      <c r="BB8" s="12" t="str">
        <f>IF(AC13&lt;&gt;0,AC13," ")</f>
        <v xml:space="preserve"> </v>
      </c>
      <c r="BC8" s="18" t="str">
        <f>IF(AC13&lt;&gt;0,AE13," ")</f>
        <v xml:space="preserve"> </v>
      </c>
      <c r="BD8" s="18" t="str">
        <f>IF(AC13&lt;&gt;0,AD13," ")</f>
        <v xml:space="preserve"> </v>
      </c>
      <c r="BE8" s="16" t="str">
        <f>IF(AC13&lt;&gt;0,IF(BC8&lt;BD8,"3",IF(BC8&gt;BD8,"0","1")),"")</f>
        <v/>
      </c>
      <c r="BF8" s="18" t="str">
        <f>IF(AC13&lt;&gt;0,AG13," ")</f>
        <v xml:space="preserve"> </v>
      </c>
      <c r="BG8" s="12" t="str">
        <f>IF(AC14&lt;&gt;0,AC14," ")</f>
        <v xml:space="preserve"> </v>
      </c>
      <c r="BH8" s="18" t="str">
        <f>IF(AC14&lt;&gt;0,AE14," ")</f>
        <v xml:space="preserve"> </v>
      </c>
      <c r="BI8" s="18" t="str">
        <f>IF(AC14&lt;&gt;0,AD14," ")</f>
        <v xml:space="preserve"> </v>
      </c>
      <c r="BJ8" s="16" t="str">
        <f>IF(AC14&lt;&gt;0,IF(BH8&lt;BI8,"3",IF(BH8&gt;BI8,"0","1")),"")</f>
        <v/>
      </c>
      <c r="BK8" s="18" t="str">
        <f>IF(AC14&lt;&gt;0,AG14," ")</f>
        <v xml:space="preserve"> </v>
      </c>
    </row>
    <row r="9" spans="1:63" x14ac:dyDescent="0.25">
      <c r="A9" s="143"/>
      <c r="B9" s="192">
        <v>7</v>
      </c>
      <c r="C9" s="110"/>
      <c r="D9" s="93"/>
      <c r="E9" s="94"/>
      <c r="F9" s="94"/>
      <c r="G9" s="95" t="str">
        <f t="shared" si="0"/>
        <v/>
      </c>
      <c r="H9" s="95"/>
      <c r="I9" s="93"/>
      <c r="J9" s="94"/>
      <c r="K9" s="94"/>
      <c r="L9" s="95" t="str">
        <f t="shared" si="1"/>
        <v/>
      </c>
      <c r="M9" s="95"/>
      <c r="N9" s="93"/>
      <c r="O9" s="94"/>
      <c r="P9" s="94"/>
      <c r="Q9" s="95" t="str">
        <f t="shared" si="2"/>
        <v/>
      </c>
      <c r="R9" s="95"/>
      <c r="S9" s="93"/>
      <c r="T9" s="94"/>
      <c r="U9" s="94"/>
      <c r="V9" s="95" t="str">
        <f t="shared" si="3"/>
        <v/>
      </c>
      <c r="W9" s="95"/>
      <c r="X9" s="93"/>
      <c r="Y9" s="94"/>
      <c r="Z9" s="94"/>
      <c r="AA9" s="95" t="str">
        <f t="shared" ref="AA9:AA14" si="4">IF(X9&lt;&gt;0,IF(Y9&lt;Z9,"3",IF(Y9&gt;Z9,"0","1")),"")</f>
        <v/>
      </c>
      <c r="AB9" s="95"/>
      <c r="AC9" s="93"/>
      <c r="AD9" s="94"/>
      <c r="AE9" s="94"/>
      <c r="AF9" s="95" t="str">
        <f>IF(AC9&lt;&gt;0,IF(AD9&lt;AE9,"3",IF(AD9&gt;AE9,"0","1")),"")</f>
        <v/>
      </c>
      <c r="AG9" s="95"/>
      <c r="AH9" s="243" t="s">
        <v>66</v>
      </c>
      <c r="AI9" s="243"/>
      <c r="AJ9" s="243"/>
      <c r="AK9" s="243"/>
      <c r="AL9" s="243"/>
      <c r="AM9" s="12" t="str">
        <f>IF(AH10&lt;&gt;0,AH10," ")</f>
        <v xml:space="preserve"> </v>
      </c>
      <c r="AN9" s="18" t="str">
        <f>IF(AH10&lt;&gt;0,AJ10," ")</f>
        <v xml:space="preserve"> </v>
      </c>
      <c r="AO9" s="19" t="str">
        <f>IF(AH10&lt;&gt;0,AI10," ")</f>
        <v xml:space="preserve"> </v>
      </c>
      <c r="AP9" s="16" t="str">
        <f>IF(AH10&lt;&gt;0,IF(AN9&lt;AO9,"3",IF(AN9&gt;AO9,"0","1")),"")</f>
        <v/>
      </c>
      <c r="AQ9" s="18" t="str">
        <f>IF(AH10&lt;&gt;0,AL10," ")</f>
        <v xml:space="preserve"> </v>
      </c>
      <c r="AR9" s="12" t="str">
        <f>IF(AH11&lt;&gt;0,AH11," ")</f>
        <v xml:space="preserve"> </v>
      </c>
      <c r="AS9" s="18" t="str">
        <f>IF(AH11&lt;&gt;0,AJ11," ")</f>
        <v xml:space="preserve"> </v>
      </c>
      <c r="AT9" s="19" t="str">
        <f>IF(AH11&lt;&gt;0,AI11," ")</f>
        <v xml:space="preserve"> </v>
      </c>
      <c r="AU9" s="16" t="str">
        <f>IF(AH11&lt;&gt;0,IF(AS9&lt;AT9,"3",IF(AS9&gt;AT9,"0","1")),"")</f>
        <v/>
      </c>
      <c r="AV9" s="18" t="str">
        <f>IF(AH11&lt;&gt;0,AL11," ")</f>
        <v xml:space="preserve"> </v>
      </c>
      <c r="AW9" s="12" t="str">
        <f>IF(AH12&lt;&gt;0,AH12," ")</f>
        <v xml:space="preserve"> </v>
      </c>
      <c r="AX9" s="18" t="str">
        <f>IF(AH12&lt;&gt;0,AJ12," ")</f>
        <v xml:space="preserve"> </v>
      </c>
      <c r="AY9" s="18" t="str">
        <f>IF(AH12&lt;&gt;0,AI12," ")</f>
        <v xml:space="preserve"> </v>
      </c>
      <c r="AZ9" s="16" t="str">
        <f>IF(AH12&lt;&gt;0,IF(AX9&lt;AY9,"3",IF(AX9&gt;AY9,"0","1")),"")</f>
        <v/>
      </c>
      <c r="BA9" s="18" t="str">
        <f>IF(AH12&lt;&gt;0,AL12," ")</f>
        <v xml:space="preserve"> </v>
      </c>
      <c r="BB9" s="12" t="str">
        <f>IF(AH13&lt;&gt;0,AH13," ")</f>
        <v xml:space="preserve"> </v>
      </c>
      <c r="BC9" s="18" t="str">
        <f>IF(AH13&lt;&gt;0,AJ13," ")</f>
        <v xml:space="preserve"> </v>
      </c>
      <c r="BD9" s="19" t="str">
        <f>IF(AH13&lt;&gt;0,AI13," ")</f>
        <v xml:space="preserve"> </v>
      </c>
      <c r="BE9" s="16" t="str">
        <f>IF(AH13&lt;&gt;0,IF(BC9&lt;BD9,"3",IF(BC9&gt;BD9,"0","1")),"")</f>
        <v/>
      </c>
      <c r="BF9" s="18" t="str">
        <f>IF(AH13&lt;&gt;0,AL13," ")</f>
        <v xml:space="preserve"> </v>
      </c>
      <c r="BG9" s="12" t="str">
        <f>IF(AH14&lt;&gt;0,AH14," ")</f>
        <v xml:space="preserve"> </v>
      </c>
      <c r="BH9" s="18" t="str">
        <f>IF(AH14&lt;&gt;0,AJ14," ")</f>
        <v xml:space="preserve"> </v>
      </c>
      <c r="BI9" s="18" t="str">
        <f>IF(AH14&lt;&gt;0,AI14," ")</f>
        <v xml:space="preserve"> </v>
      </c>
      <c r="BJ9" s="16" t="str">
        <f>IF(AH14&lt;&gt;0,IF(BH9&lt;BI9,"3",IF(BH9&gt;BI9,"0","1")),"")</f>
        <v/>
      </c>
      <c r="BK9" s="18" t="str">
        <f>IF(AH14&lt;&gt;0,AL14," ")</f>
        <v xml:space="preserve"> </v>
      </c>
    </row>
    <row r="10" spans="1:63" x14ac:dyDescent="0.25">
      <c r="A10" s="143"/>
      <c r="B10" s="192">
        <v>8</v>
      </c>
      <c r="C10" s="110"/>
      <c r="D10" s="93"/>
      <c r="E10" s="94"/>
      <c r="F10" s="94"/>
      <c r="G10" s="95" t="str">
        <f t="shared" si="0"/>
        <v/>
      </c>
      <c r="H10" s="95"/>
      <c r="I10" s="93"/>
      <c r="J10" s="94"/>
      <c r="K10" s="94"/>
      <c r="L10" s="95" t="str">
        <f t="shared" si="1"/>
        <v/>
      </c>
      <c r="M10" s="95"/>
      <c r="N10" s="93"/>
      <c r="O10" s="94"/>
      <c r="P10" s="94"/>
      <c r="Q10" s="95" t="str">
        <f t="shared" si="2"/>
        <v/>
      </c>
      <c r="R10" s="95"/>
      <c r="S10" s="93"/>
      <c r="T10" s="94"/>
      <c r="U10" s="94"/>
      <c r="V10" s="95" t="str">
        <f t="shared" si="3"/>
        <v/>
      </c>
      <c r="W10" s="95"/>
      <c r="X10" s="93"/>
      <c r="Y10" s="94"/>
      <c r="Z10" s="94"/>
      <c r="AA10" s="95" t="str">
        <f t="shared" si="4"/>
        <v/>
      </c>
      <c r="AB10" s="95"/>
      <c r="AC10" s="93"/>
      <c r="AD10" s="94"/>
      <c r="AE10" s="94"/>
      <c r="AF10" s="95" t="str">
        <f t="shared" ref="AF10:AF14" si="5">IF(AC10&lt;&gt;0,IF(AD10&lt;AE10,"3",IF(AD10&gt;AE10,"0","1")),"")</f>
        <v/>
      </c>
      <c r="AG10" s="95"/>
      <c r="AH10" s="93"/>
      <c r="AI10" s="94"/>
      <c r="AJ10" s="94"/>
      <c r="AK10" s="95" t="str">
        <f>IF(AH10&lt;&gt;0,IF(AI10&lt;AJ10,"3",IF(AI10&gt;AJ10,"0","1")),"")</f>
        <v/>
      </c>
      <c r="AL10" s="95"/>
      <c r="AM10" s="243" t="s">
        <v>66</v>
      </c>
      <c r="AN10" s="243"/>
      <c r="AO10" s="243"/>
      <c r="AP10" s="243"/>
      <c r="AQ10" s="243"/>
      <c r="AR10" s="12" t="str">
        <f>IF(AM11&lt;&gt;0,AM11," ")</f>
        <v xml:space="preserve"> </v>
      </c>
      <c r="AS10" s="18" t="str">
        <f>IF(AM11&lt;&gt;0,AO11," ")</f>
        <v xml:space="preserve"> </v>
      </c>
      <c r="AT10" s="19" t="str">
        <f>IF(AM11&lt;&gt;0,AN11," ")</f>
        <v xml:space="preserve"> </v>
      </c>
      <c r="AU10" s="16" t="str">
        <f>IF(AM11&lt;&gt;0,IF(AS10&lt;AT10,"3",IF(AS10&gt;AT10,"0","1")),"")</f>
        <v/>
      </c>
      <c r="AV10" s="18" t="str">
        <f>IF(AM11&lt;&gt;0,AQ11," ")</f>
        <v xml:space="preserve"> </v>
      </c>
      <c r="AW10" s="12" t="str">
        <f>IF(AM12&lt;&gt;0,AM12," ")</f>
        <v xml:space="preserve"> </v>
      </c>
      <c r="AX10" s="18" t="str">
        <f>IF(AM12&lt;&gt;0,AO12," ")</f>
        <v xml:space="preserve"> </v>
      </c>
      <c r="AY10" s="18" t="str">
        <f>IF(AM12&lt;&gt;0,AN12," ")</f>
        <v xml:space="preserve"> </v>
      </c>
      <c r="AZ10" s="16" t="str">
        <f>IF(AM12&lt;&gt;0,IF(AX10&lt;AY10,"3",IF(AX10&gt;AY10,"0","1")),"")</f>
        <v/>
      </c>
      <c r="BA10" s="18" t="str">
        <f>IF(AM12&lt;&gt;0,AQ12," ")</f>
        <v xml:space="preserve"> </v>
      </c>
      <c r="BB10" s="12" t="str">
        <f>IF(AM13&lt;&gt;0,AM13," ")</f>
        <v xml:space="preserve"> </v>
      </c>
      <c r="BC10" s="18" t="str">
        <f>IF(AM13&lt;&gt;0,AO13," ")</f>
        <v xml:space="preserve"> </v>
      </c>
      <c r="BD10" s="19" t="str">
        <f>IF(AM13&lt;&gt;0,AN13," ")</f>
        <v xml:space="preserve"> </v>
      </c>
      <c r="BE10" s="16" t="str">
        <f>IF(AM13&lt;&gt;0,IF(BC10&lt;BD10,"3",IF(BC10&gt;BD10,"0","1")),"")</f>
        <v/>
      </c>
      <c r="BF10" s="18" t="str">
        <f>IF(AM13&lt;&gt;0,AQ13," ")</f>
        <v xml:space="preserve"> </v>
      </c>
      <c r="BG10" s="12" t="str">
        <f>IF(AM14&lt;&gt;0,AM14," ")</f>
        <v xml:space="preserve"> </v>
      </c>
      <c r="BH10" s="18" t="str">
        <f>IF(AM14&lt;&gt;0,AO14," ")</f>
        <v xml:space="preserve"> </v>
      </c>
      <c r="BI10" s="19" t="str">
        <f>IF(AM14&lt;&gt;0,AN14," ")</f>
        <v xml:space="preserve"> </v>
      </c>
      <c r="BJ10" s="16" t="str">
        <f>IF(AM14&lt;&gt;0,IF(BH10&lt;BI10,"3",IF(BH10&gt;BI10,"0","1")),"")</f>
        <v/>
      </c>
      <c r="BK10" s="18" t="str">
        <f>IF(AM14&lt;&gt;0,AQ14," ")</f>
        <v xml:space="preserve"> </v>
      </c>
    </row>
    <row r="11" spans="1:63" x14ac:dyDescent="0.25">
      <c r="A11" s="143"/>
      <c r="B11" s="192">
        <v>9</v>
      </c>
      <c r="C11" s="110"/>
      <c r="D11" s="93"/>
      <c r="E11" s="94"/>
      <c r="F11" s="94"/>
      <c r="G11" s="95" t="str">
        <f t="shared" si="0"/>
        <v/>
      </c>
      <c r="H11" s="95"/>
      <c r="I11" s="93"/>
      <c r="J11" s="94"/>
      <c r="K11" s="94"/>
      <c r="L11" s="95" t="str">
        <f t="shared" si="1"/>
        <v/>
      </c>
      <c r="M11" s="95"/>
      <c r="N11" s="93"/>
      <c r="O11" s="94"/>
      <c r="P11" s="94"/>
      <c r="Q11" s="95" t="str">
        <f t="shared" si="2"/>
        <v/>
      </c>
      <c r="R11" s="95"/>
      <c r="S11" s="93"/>
      <c r="T11" s="94"/>
      <c r="U11" s="94"/>
      <c r="V11" s="95" t="str">
        <f t="shared" si="3"/>
        <v/>
      </c>
      <c r="W11" s="95"/>
      <c r="X11" s="93"/>
      <c r="Y11" s="94"/>
      <c r="Z11" s="94"/>
      <c r="AA11" s="95" t="str">
        <f t="shared" si="4"/>
        <v/>
      </c>
      <c r="AB11" s="95"/>
      <c r="AC11" s="93"/>
      <c r="AD11" s="94"/>
      <c r="AE11" s="94"/>
      <c r="AF11" s="95" t="str">
        <f t="shared" si="5"/>
        <v/>
      </c>
      <c r="AG11" s="95"/>
      <c r="AH11" s="93"/>
      <c r="AI11" s="94"/>
      <c r="AJ11" s="94"/>
      <c r="AK11" s="95" t="str">
        <f t="shared" ref="AK11:AK14" si="6">IF(AH11&lt;&gt;0,IF(AI11&lt;AJ11,"3",IF(AI11&gt;AJ11,"0","1")),"")</f>
        <v/>
      </c>
      <c r="AL11" s="95"/>
      <c r="AM11" s="93"/>
      <c r="AN11" s="94"/>
      <c r="AO11" s="94"/>
      <c r="AP11" s="95" t="str">
        <f>IF(AM11&lt;&gt;0,IF(AN11&lt;AO11,"3",IF(AN11&gt;AO11,"0","1")),"")</f>
        <v/>
      </c>
      <c r="AQ11" s="95"/>
      <c r="AR11" s="243" t="s">
        <v>66</v>
      </c>
      <c r="AS11" s="243"/>
      <c r="AT11" s="243"/>
      <c r="AU11" s="243"/>
      <c r="AV11" s="243"/>
      <c r="AW11" s="12" t="str">
        <f>IF(AR12&lt;&gt;0,AR12," ")</f>
        <v xml:space="preserve"> </v>
      </c>
      <c r="AX11" s="18" t="str">
        <f>IF(AR12&lt;&gt;0,AT12," ")</f>
        <v xml:space="preserve"> </v>
      </c>
      <c r="AY11" s="19" t="str">
        <f>IF(AR12&lt;&gt;0,AS12," ")</f>
        <v xml:space="preserve"> </v>
      </c>
      <c r="AZ11" s="16" t="str">
        <f>IF(AR12&lt;&gt;0,IF(AX11&lt;AY11,"3",IF(AX11&gt;AY11,"0","1")),"")</f>
        <v/>
      </c>
      <c r="BA11" s="18" t="str">
        <f>IF(AR12&lt;&gt;0,AV12," ")</f>
        <v xml:space="preserve"> </v>
      </c>
      <c r="BB11" s="12" t="str">
        <f>IF(AR13&lt;&gt;0,AR13," ")</f>
        <v xml:space="preserve"> </v>
      </c>
      <c r="BC11" s="18" t="str">
        <f>IF(AR13&lt;&gt;0,AT13," ")</f>
        <v xml:space="preserve"> </v>
      </c>
      <c r="BD11" s="18" t="str">
        <f>IF(AR13&lt;&gt;0,AS13," ")</f>
        <v xml:space="preserve"> </v>
      </c>
      <c r="BE11" s="16" t="str">
        <f>IF(AR13&lt;&gt;0,IF(BC11&lt;BD11,"3",IF(BC11&gt;BD11,"0","1")),"")</f>
        <v/>
      </c>
      <c r="BF11" s="18" t="str">
        <f>IF(AR13&lt;&gt;0,AV13," ")</f>
        <v xml:space="preserve"> </v>
      </c>
      <c r="BG11" s="12" t="str">
        <f>IF(AR14&lt;&gt;0,AR14," ")</f>
        <v xml:space="preserve"> </v>
      </c>
      <c r="BH11" s="18" t="str">
        <f>IF(AR14&lt;&gt;0,AT14," ")</f>
        <v xml:space="preserve"> </v>
      </c>
      <c r="BI11" s="19" t="str">
        <f>IF(AR14&lt;&gt;0,AS14," ")</f>
        <v xml:space="preserve"> </v>
      </c>
      <c r="BJ11" s="16" t="str">
        <f>IF(AR14&lt;&gt;0,IF(BH11&lt;BI11,"3",IF(BH11&gt;BI11,"0","1")),"")</f>
        <v/>
      </c>
      <c r="BK11" s="18" t="str">
        <f>IF(AR14&lt;&gt;0,AV14," ")</f>
        <v xml:space="preserve"> </v>
      </c>
    </row>
    <row r="12" spans="1:63" x14ac:dyDescent="0.25">
      <c r="A12" s="143"/>
      <c r="B12" s="192">
        <v>10</v>
      </c>
      <c r="C12" s="110"/>
      <c r="D12" s="93"/>
      <c r="E12" s="94"/>
      <c r="F12" s="94"/>
      <c r="G12" s="95" t="str">
        <f t="shared" si="0"/>
        <v/>
      </c>
      <c r="H12" s="95"/>
      <c r="I12" s="93"/>
      <c r="J12" s="94"/>
      <c r="K12" s="94"/>
      <c r="L12" s="95" t="str">
        <f t="shared" si="1"/>
        <v/>
      </c>
      <c r="M12" s="95"/>
      <c r="N12" s="93"/>
      <c r="O12" s="94"/>
      <c r="P12" s="94"/>
      <c r="Q12" s="95" t="str">
        <f t="shared" si="2"/>
        <v/>
      </c>
      <c r="R12" s="95"/>
      <c r="S12" s="93"/>
      <c r="T12" s="94"/>
      <c r="U12" s="94"/>
      <c r="V12" s="95" t="str">
        <f t="shared" si="3"/>
        <v/>
      </c>
      <c r="W12" s="95"/>
      <c r="X12" s="93"/>
      <c r="Y12" s="94"/>
      <c r="Z12" s="94"/>
      <c r="AA12" s="95" t="str">
        <f t="shared" si="4"/>
        <v/>
      </c>
      <c r="AB12" s="95"/>
      <c r="AC12" s="93"/>
      <c r="AD12" s="94"/>
      <c r="AE12" s="94"/>
      <c r="AF12" s="95" t="str">
        <f t="shared" si="5"/>
        <v/>
      </c>
      <c r="AG12" s="95"/>
      <c r="AH12" s="93"/>
      <c r="AI12" s="94"/>
      <c r="AJ12" s="94"/>
      <c r="AK12" s="95" t="str">
        <f t="shared" si="6"/>
        <v/>
      </c>
      <c r="AL12" s="95"/>
      <c r="AM12" s="93"/>
      <c r="AN12" s="94"/>
      <c r="AO12" s="94"/>
      <c r="AP12" s="95" t="str">
        <f t="shared" ref="AP12:AP14" si="7">IF(AM12&lt;&gt;0,IF(AN12&lt;AO12,"3",IF(AN12&gt;AO12,"0","1")),"")</f>
        <v/>
      </c>
      <c r="AQ12" s="95"/>
      <c r="AR12" s="93"/>
      <c r="AS12" s="94"/>
      <c r="AT12" s="94"/>
      <c r="AU12" s="95" t="str">
        <f>IF(AR12&lt;&gt;0,IF(AS12&lt;AT12,"3",IF(AS12&gt;AT12,"0","1")),"")</f>
        <v/>
      </c>
      <c r="AV12" s="95"/>
      <c r="AW12" s="243" t="s">
        <v>66</v>
      </c>
      <c r="AX12" s="243"/>
      <c r="AY12" s="243"/>
      <c r="AZ12" s="243"/>
      <c r="BA12" s="243"/>
      <c r="BB12" s="12" t="str">
        <f>IF(AW13&lt;&gt;0,AW13," ")</f>
        <v xml:space="preserve"> </v>
      </c>
      <c r="BC12" s="18" t="str">
        <f>IF(AW13&lt;&gt;0,AY13," ")</f>
        <v xml:space="preserve"> </v>
      </c>
      <c r="BD12" s="19" t="str">
        <f>IF(AW13&lt;&gt;0,AX13," ")</f>
        <v xml:space="preserve"> </v>
      </c>
      <c r="BE12" s="16" t="str">
        <f>IF(AW13&lt;&gt;0,IF(BC12&lt;BD12,"3",IF(BC12&gt;BD12,"0","1")),"")</f>
        <v/>
      </c>
      <c r="BF12" s="18" t="str">
        <f>IF(AW13&lt;&gt;0,BA13," ")</f>
        <v xml:space="preserve"> </v>
      </c>
      <c r="BG12" s="12" t="str">
        <f>IF(AW14&lt;&gt;0,AW14," ")</f>
        <v xml:space="preserve"> </v>
      </c>
      <c r="BH12" s="18" t="str">
        <f>IF(AW14&lt;&gt;0,AY14," ")</f>
        <v xml:space="preserve"> </v>
      </c>
      <c r="BI12" s="18" t="str">
        <f>IF(AW14&lt;&gt;0,AX14," ")</f>
        <v xml:space="preserve"> </v>
      </c>
      <c r="BJ12" s="16" t="str">
        <f>IF(AW14&lt;&gt;0,IF(BH12&lt;BI12,"3",IF(BH12&gt;BI12,"0","1")),"")</f>
        <v/>
      </c>
      <c r="BK12" s="18" t="str">
        <f>IF(AW14&lt;&gt;0,BA14," ")</f>
        <v xml:space="preserve"> </v>
      </c>
    </row>
    <row r="13" spans="1:63" x14ac:dyDescent="0.25">
      <c r="A13" s="143"/>
      <c r="B13" s="192">
        <v>11</v>
      </c>
      <c r="C13" s="110"/>
      <c r="D13" s="93"/>
      <c r="E13" s="94"/>
      <c r="F13" s="94"/>
      <c r="G13" s="95" t="str">
        <f t="shared" si="0"/>
        <v/>
      </c>
      <c r="H13" s="95"/>
      <c r="I13" s="93"/>
      <c r="J13" s="94"/>
      <c r="K13" s="94"/>
      <c r="L13" s="95" t="str">
        <f t="shared" si="1"/>
        <v/>
      </c>
      <c r="M13" s="95"/>
      <c r="N13" s="93"/>
      <c r="O13" s="94"/>
      <c r="P13" s="94"/>
      <c r="Q13" s="95" t="str">
        <f t="shared" si="2"/>
        <v/>
      </c>
      <c r="R13" s="95"/>
      <c r="S13" s="93"/>
      <c r="T13" s="94"/>
      <c r="U13" s="94"/>
      <c r="V13" s="95" t="str">
        <f t="shared" si="3"/>
        <v/>
      </c>
      <c r="W13" s="95"/>
      <c r="X13" s="93"/>
      <c r="Y13" s="94"/>
      <c r="Z13" s="94"/>
      <c r="AA13" s="95" t="str">
        <f t="shared" si="4"/>
        <v/>
      </c>
      <c r="AB13" s="95"/>
      <c r="AC13" s="93"/>
      <c r="AD13" s="94"/>
      <c r="AE13" s="94"/>
      <c r="AF13" s="95" t="str">
        <f t="shared" si="5"/>
        <v/>
      </c>
      <c r="AG13" s="95"/>
      <c r="AH13" s="93"/>
      <c r="AI13" s="94"/>
      <c r="AJ13" s="94"/>
      <c r="AK13" s="95" t="str">
        <f t="shared" si="6"/>
        <v/>
      </c>
      <c r="AL13" s="95"/>
      <c r="AM13" s="93"/>
      <c r="AN13" s="94"/>
      <c r="AO13" s="94"/>
      <c r="AP13" s="95" t="str">
        <f t="shared" si="7"/>
        <v/>
      </c>
      <c r="AQ13" s="95"/>
      <c r="AR13" s="93"/>
      <c r="AS13" s="94"/>
      <c r="AT13" s="94"/>
      <c r="AU13" s="95" t="str">
        <f t="shared" ref="AU13:AU14" si="8">IF(AR13&lt;&gt;0,IF(AS13&lt;AT13,"3",IF(AS13&gt;AT13,"0","1")),"")</f>
        <v/>
      </c>
      <c r="AV13" s="95"/>
      <c r="AW13" s="93"/>
      <c r="AX13" s="94"/>
      <c r="AY13" s="94"/>
      <c r="AZ13" s="95" t="str">
        <f>IF(AW13&lt;&gt;0,IF(AX13&lt;AY13,"3",IF(AX13&gt;AY13,"0","1")),"")</f>
        <v/>
      </c>
      <c r="BA13" s="95"/>
      <c r="BB13" s="243" t="s">
        <v>66</v>
      </c>
      <c r="BC13" s="243"/>
      <c r="BD13" s="243"/>
      <c r="BE13" s="243"/>
      <c r="BF13" s="243"/>
      <c r="BG13" s="12" t="str">
        <f>IF(BB14&lt;&gt;0,BB14," ")</f>
        <v xml:space="preserve"> </v>
      </c>
      <c r="BH13" s="18" t="str">
        <f>IF(BB14&lt;&gt;0,BD14," ")</f>
        <v xml:space="preserve"> </v>
      </c>
      <c r="BI13" s="19" t="str">
        <f>IF(BB14&lt;&gt;0,BC14," ")</f>
        <v xml:space="preserve"> </v>
      </c>
      <c r="BJ13" s="16" t="str">
        <f>IF(BB14&lt;&gt;0,IF(BH13&lt;BI13,"3",IF(BH13&gt;BI13,"0","1")),"")</f>
        <v/>
      </c>
      <c r="BK13" s="18" t="str">
        <f>IF(BB14&lt;&gt;0,BF14," ")</f>
        <v xml:space="preserve"> </v>
      </c>
    </row>
    <row r="14" spans="1:63" x14ac:dyDescent="0.25">
      <c r="A14" s="143"/>
      <c r="B14" s="192">
        <v>12</v>
      </c>
      <c r="C14" s="110"/>
      <c r="D14" s="93"/>
      <c r="E14" s="94"/>
      <c r="F14" s="94"/>
      <c r="G14" s="95" t="str">
        <f t="shared" si="0"/>
        <v/>
      </c>
      <c r="H14" s="95"/>
      <c r="I14" s="93"/>
      <c r="J14" s="94"/>
      <c r="K14" s="94"/>
      <c r="L14" s="95" t="str">
        <f t="shared" si="1"/>
        <v/>
      </c>
      <c r="M14" s="95"/>
      <c r="N14" s="93"/>
      <c r="O14" s="94"/>
      <c r="P14" s="94"/>
      <c r="Q14" s="95" t="str">
        <f t="shared" si="2"/>
        <v/>
      </c>
      <c r="R14" s="95"/>
      <c r="S14" s="93"/>
      <c r="T14" s="94"/>
      <c r="U14" s="94"/>
      <c r="V14" s="95" t="str">
        <f t="shared" si="3"/>
        <v/>
      </c>
      <c r="W14" s="95"/>
      <c r="X14" s="93"/>
      <c r="Y14" s="94"/>
      <c r="Z14" s="94"/>
      <c r="AA14" s="95" t="str">
        <f t="shared" si="4"/>
        <v/>
      </c>
      <c r="AB14" s="95"/>
      <c r="AC14" s="93"/>
      <c r="AD14" s="94"/>
      <c r="AE14" s="94"/>
      <c r="AF14" s="95" t="str">
        <f t="shared" si="5"/>
        <v/>
      </c>
      <c r="AG14" s="95"/>
      <c r="AH14" s="93"/>
      <c r="AI14" s="94"/>
      <c r="AJ14" s="94"/>
      <c r="AK14" s="95" t="str">
        <f t="shared" si="6"/>
        <v/>
      </c>
      <c r="AL14" s="95"/>
      <c r="AM14" s="93"/>
      <c r="AN14" s="94"/>
      <c r="AO14" s="94"/>
      <c r="AP14" s="95" t="str">
        <f t="shared" si="7"/>
        <v/>
      </c>
      <c r="AQ14" s="95"/>
      <c r="AR14" s="93"/>
      <c r="AS14" s="94"/>
      <c r="AT14" s="94"/>
      <c r="AU14" s="95" t="str">
        <f t="shared" si="8"/>
        <v/>
      </c>
      <c r="AV14" s="95"/>
      <c r="AW14" s="93"/>
      <c r="AX14" s="94"/>
      <c r="AY14" s="94"/>
      <c r="AZ14" s="95" t="str">
        <f t="shared" ref="AZ14" si="9">IF(AW14&lt;&gt;0,IF(AX14&lt;AY14,"3",IF(AX14&gt;AY14,"0","1")),"")</f>
        <v/>
      </c>
      <c r="BA14" s="95"/>
      <c r="BB14" s="93"/>
      <c r="BC14" s="94"/>
      <c r="BD14" s="94"/>
      <c r="BE14" s="95" t="str">
        <f>IF(BB14&lt;&gt;0,IF(BC14&lt;BD14,"3",IF(BC14&gt;BD14,"0","1")),"")</f>
        <v/>
      </c>
      <c r="BF14" s="95"/>
      <c r="BG14" s="243" t="s">
        <v>66</v>
      </c>
      <c r="BH14" s="243"/>
      <c r="BI14" s="243"/>
      <c r="BJ14" s="243"/>
      <c r="BK14" s="243"/>
    </row>
    <row r="16" spans="1:63" ht="15.75" thickBot="1" x14ac:dyDescent="0.3"/>
    <row r="17" spans="9:18" x14ac:dyDescent="0.25">
      <c r="I17" s="246" t="s">
        <v>232</v>
      </c>
      <c r="J17" s="247"/>
      <c r="K17" s="247"/>
      <c r="L17" s="247"/>
      <c r="M17" s="247"/>
      <c r="N17" s="247"/>
      <c r="O17" s="247"/>
      <c r="P17" s="247"/>
      <c r="Q17" s="247"/>
      <c r="R17" s="248"/>
    </row>
    <row r="18" spans="9:18" x14ac:dyDescent="0.25">
      <c r="I18" s="249"/>
      <c r="J18" s="250"/>
      <c r="K18" s="250"/>
      <c r="L18" s="250"/>
      <c r="M18" s="250"/>
      <c r="N18" s="250"/>
      <c r="O18" s="250"/>
      <c r="P18" s="250"/>
      <c r="Q18" s="250"/>
      <c r="R18" s="251"/>
    </row>
    <row r="19" spans="9:18" ht="15.75" thickBot="1" x14ac:dyDescent="0.3">
      <c r="I19" s="252"/>
      <c r="J19" s="253"/>
      <c r="K19" s="253"/>
      <c r="L19" s="253"/>
      <c r="M19" s="253"/>
      <c r="N19" s="253"/>
      <c r="O19" s="253"/>
      <c r="P19" s="253"/>
      <c r="Q19" s="253"/>
      <c r="R19" s="254"/>
    </row>
  </sheetData>
  <sheetProtection algorithmName="SHA-512" hashValue="9xrLpOTovrra4I4GJomf9XV0WgOQAdW5I5q4PDKyxck/crp/EmSqCkz+jBFER1GaoE5weUdic/qWNOA0WsbZSQ==" saltValue="PIOByAoVNbxoGIvFJV7XGQ==" spinCount="100000" sheet="1" formatCells="0"/>
  <protectedRanges>
    <protectedRange sqref="L5:M14 Q6:R14 V7:W14 AA8:AB14 AF9:AG14 AK10:AL14 AP11:AQ14 AU12:AV14 AZ13:BA14 AU3:AU10 AZ3:AZ11 BE3:BE12 BJ3:BJ13 AF3:AF7 AK3:AK8 AP3:AP9 BE14:BF14 G4:H14 L3 Q3:Q4 V3:V5 AA3:AA6" name="Rango1"/>
    <protectedRange sqref="D4:F14" name="Rango1_7"/>
    <protectedRange sqref="I5:K14" name="Rango1_8"/>
    <protectedRange sqref="N7:P14" name="Rango1_9"/>
    <protectedRange sqref="N6:P6" name="Rango1_2_1"/>
    <protectedRange sqref="S7:U14" name="Rango1_10"/>
    <protectedRange sqref="X8:Z14" name="Rango1_11"/>
    <protectedRange sqref="AC9:AE14" name="Rango1_12"/>
    <protectedRange sqref="AH10:AJ14" name="Rango1_13"/>
    <protectedRange sqref="AM11:AO14" name="Rango1_14"/>
    <protectedRange sqref="AR12:AT14" name="Rango1_15"/>
    <protectedRange sqref="AW13:AY14" name="Rango1_16"/>
    <protectedRange sqref="BB14:BD14" name="Rango1_17"/>
    <protectedRange sqref="C3:C14" name="Rango1_22"/>
  </protectedRanges>
  <mergeCells count="40">
    <mergeCell ref="A1:A2"/>
    <mergeCell ref="S1:W1"/>
    <mergeCell ref="E2:F2"/>
    <mergeCell ref="J2:K2"/>
    <mergeCell ref="O2:P2"/>
    <mergeCell ref="T2:U2"/>
    <mergeCell ref="B1:B2"/>
    <mergeCell ref="C1:C2"/>
    <mergeCell ref="D1:H1"/>
    <mergeCell ref="I1:M1"/>
    <mergeCell ref="N1:R1"/>
    <mergeCell ref="AW1:BA1"/>
    <mergeCell ref="BB1:BF1"/>
    <mergeCell ref="BG1:BK1"/>
    <mergeCell ref="Y2:Z2"/>
    <mergeCell ref="AD2:AE2"/>
    <mergeCell ref="AI2:AJ2"/>
    <mergeCell ref="AN2:AO2"/>
    <mergeCell ref="AS2:AT2"/>
    <mergeCell ref="AX2:AY2"/>
    <mergeCell ref="X1:AB1"/>
    <mergeCell ref="AC1:AG1"/>
    <mergeCell ref="AH1:AL1"/>
    <mergeCell ref="AM1:AQ1"/>
    <mergeCell ref="AR1:AV1"/>
    <mergeCell ref="AC8:AG8"/>
    <mergeCell ref="BC2:BD2"/>
    <mergeCell ref="BH2:BI2"/>
    <mergeCell ref="D3:H3"/>
    <mergeCell ref="I4:M4"/>
    <mergeCell ref="N5:R5"/>
    <mergeCell ref="S6:W6"/>
    <mergeCell ref="X7:AB7"/>
    <mergeCell ref="I17:R19"/>
    <mergeCell ref="BG14:BK14"/>
    <mergeCell ref="AH9:AL9"/>
    <mergeCell ref="AM10:AQ10"/>
    <mergeCell ref="AR11:AV11"/>
    <mergeCell ref="AW12:BA12"/>
    <mergeCell ref="BB13:BF13"/>
  </mergeCells>
  <conditionalFormatting sqref="BG13:BI13 BB12:BD12 AW11:AY11 AR10:AT10 AM9:AO9 AH8:AJ8 AC7:AE7 X6:Z6 S5:U5 N4:P4 D4:H4 D5:G14 H5:M5 H6:L14 M6:R6 M7:Q14 R7:W7 R8:V14 W8:AB8 W9:AA14 AB9:AG9 AB10:AF14 AG10:AL10 AG11:AK14 AL11:AQ11 AL12:AP14 AQ12:AV12 AQ13:AU14 AV13:BA13 AV14:BF14 I3:P3 R3:U4 W3:Z5 AB3:AE6 AG3:AJ7 AL3:AO8 AQ3:AT9 AV3:AY10 BA3:BD11 BF3:BI12 BK3:BK13">
    <cfRule type="notContainsBlanks" dxfId="101" priority="19">
      <formula>LEN(TRIM(D3))&gt;0</formula>
    </cfRule>
  </conditionalFormatting>
  <conditionalFormatting sqref="I3:P3 R3:T3">
    <cfRule type="notContainsBlanks" dxfId="100" priority="20">
      <formula>LEN(TRIM(I3))&gt;0</formula>
    </cfRule>
  </conditionalFormatting>
  <conditionalFormatting sqref="U3">
    <cfRule type="notContainsBlanks" dxfId="99" priority="18">
      <formula>LEN(TRIM(U3))&gt;0</formula>
    </cfRule>
  </conditionalFormatting>
  <conditionalFormatting sqref="Z3">
    <cfRule type="notContainsBlanks" dxfId="98" priority="17">
      <formula>LEN(TRIM(Z3))&gt;0</formula>
    </cfRule>
  </conditionalFormatting>
  <conditionalFormatting sqref="AE3">
    <cfRule type="notContainsBlanks" dxfId="97" priority="16">
      <formula>LEN(TRIM(AE3))&gt;0</formula>
    </cfRule>
  </conditionalFormatting>
  <conditionalFormatting sqref="Q3:Q4">
    <cfRule type="notContainsBlanks" dxfId="96" priority="15">
      <formula>LEN(TRIM(Q3))&gt;0</formula>
    </cfRule>
  </conditionalFormatting>
  <conditionalFormatting sqref="V3:V5">
    <cfRule type="notContainsBlanks" dxfId="95" priority="14">
      <formula>LEN(TRIM(V3))&gt;0</formula>
    </cfRule>
  </conditionalFormatting>
  <conditionalFormatting sqref="AA3:AA6">
    <cfRule type="notContainsBlanks" dxfId="94" priority="13">
      <formula>LEN(TRIM(AA3))&gt;0</formula>
    </cfRule>
  </conditionalFormatting>
  <conditionalFormatting sqref="AF3:AF7">
    <cfRule type="notContainsBlanks" dxfId="93" priority="12">
      <formula>LEN(TRIM(AF3))&gt;0</formula>
    </cfRule>
  </conditionalFormatting>
  <conditionalFormatting sqref="AK3:AK8">
    <cfRule type="notContainsBlanks" dxfId="92" priority="11">
      <formula>LEN(TRIM(AK3))&gt;0</formula>
    </cfRule>
  </conditionalFormatting>
  <conditionalFormatting sqref="AP3:AP9">
    <cfRule type="notContainsBlanks" dxfId="91" priority="10">
      <formula>LEN(TRIM(AP3))&gt;0</formula>
    </cfRule>
  </conditionalFormatting>
  <conditionalFormatting sqref="AU3:AU10">
    <cfRule type="notContainsBlanks" dxfId="90" priority="9">
      <formula>LEN(TRIM(AU3))&gt;0</formula>
    </cfRule>
  </conditionalFormatting>
  <conditionalFormatting sqref="AZ3:AZ11">
    <cfRule type="notContainsBlanks" dxfId="89" priority="8">
      <formula>LEN(TRIM(AZ3))&gt;0</formula>
    </cfRule>
  </conditionalFormatting>
  <conditionalFormatting sqref="BE3:BE12">
    <cfRule type="notContainsBlanks" dxfId="88" priority="7">
      <formula>LEN(TRIM(BE3))&gt;0</formula>
    </cfRule>
  </conditionalFormatting>
  <conditionalFormatting sqref="BJ3:BJ13">
    <cfRule type="notContainsBlanks" dxfId="87" priority="6">
      <formula>LEN(TRIM(BJ3))&gt;0</formula>
    </cfRule>
  </conditionalFormatting>
  <conditionalFormatting sqref="D3:BK14">
    <cfRule type="containsText" dxfId="86" priority="1" operator="containsText" text="W">
      <formula>NOT(ISERROR(SEARCH("W",D3)))</formula>
    </cfRule>
  </conditionalFormatting>
  <pageMargins left="0.45" right="0.2" top="0.75" bottom="0.75" header="0.3" footer="0.3"/>
  <pageSetup orientation="landscape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EADE3-95AA-4E18-A17F-03DD4479A90D}">
  <sheetPr codeName="Hoja25"/>
  <dimension ref="G3:Q19"/>
  <sheetViews>
    <sheetView showGridLines="0" workbookViewId="0"/>
  </sheetViews>
  <sheetFormatPr baseColWidth="10" defaultRowHeight="15" x14ac:dyDescent="0.25"/>
  <cols>
    <col min="1" max="6" width="11.42578125" style="106"/>
    <col min="7" max="7" width="5.28515625" style="106" bestFit="1" customWidth="1"/>
    <col min="8" max="8" width="45.7109375" style="106" customWidth="1"/>
    <col min="9" max="9" width="6.140625" style="106" customWidth="1"/>
    <col min="10" max="10" width="7" style="106" customWidth="1"/>
    <col min="11" max="11" width="6.5703125" style="106" customWidth="1"/>
    <col min="12" max="12" width="6.7109375" style="106" customWidth="1"/>
    <col min="13" max="13" width="6.85546875" style="106" customWidth="1"/>
    <col min="14" max="14" width="7" style="106" customWidth="1"/>
    <col min="15" max="15" width="7.28515625" style="107" customWidth="1"/>
    <col min="16" max="16" width="11.140625" style="108" bestFit="1" customWidth="1"/>
    <col min="17" max="17" width="9" style="106" customWidth="1"/>
    <col min="18" max="18" width="11.42578125" style="106"/>
    <col min="19" max="19" width="4.140625" style="106" bestFit="1" customWidth="1"/>
    <col min="20" max="20" width="45.7109375" style="106" customWidth="1"/>
    <col min="21" max="21" width="4.28515625" style="106" bestFit="1" customWidth="1"/>
    <col min="22" max="22" width="5.140625" style="106" bestFit="1" customWidth="1"/>
    <col min="23" max="23" width="4.7109375" style="106" bestFit="1" customWidth="1"/>
    <col min="24" max="24" width="4.85546875" style="106" bestFit="1" customWidth="1"/>
    <col min="25" max="25" width="5" style="106" bestFit="1" customWidth="1"/>
    <col min="26" max="26" width="5.140625" style="106" bestFit="1" customWidth="1"/>
    <col min="27" max="27" width="5.42578125" style="106" bestFit="1" customWidth="1"/>
    <col min="28" max="28" width="7.140625" style="106" bestFit="1" customWidth="1"/>
    <col min="29" max="16384" width="11.42578125" style="106"/>
  </cols>
  <sheetData>
    <row r="3" spans="7:17" ht="15.75" thickBot="1" x14ac:dyDescent="0.3"/>
    <row r="4" spans="7:17" ht="18.75" customHeight="1" x14ac:dyDescent="0.25">
      <c r="G4" s="96"/>
      <c r="H4" s="272" t="s">
        <v>39</v>
      </c>
      <c r="I4" s="273"/>
      <c r="J4" s="273"/>
      <c r="K4" s="273"/>
      <c r="L4" s="273"/>
      <c r="M4" s="273"/>
      <c r="N4" s="273"/>
      <c r="O4" s="273"/>
      <c r="P4" s="273"/>
      <c r="Q4" s="274"/>
    </row>
    <row r="5" spans="7:17" ht="15.75" thickBot="1" x14ac:dyDescent="0.3">
      <c r="G5" s="96"/>
      <c r="H5" s="275"/>
      <c r="I5" s="276"/>
      <c r="J5" s="276"/>
      <c r="K5" s="276"/>
      <c r="L5" s="276"/>
      <c r="M5" s="276"/>
      <c r="N5" s="276"/>
      <c r="O5" s="276"/>
      <c r="P5" s="276"/>
      <c r="Q5" s="277"/>
    </row>
    <row r="6" spans="7:17" ht="23.25" thickBot="1" x14ac:dyDescent="0.35">
      <c r="G6" s="96"/>
      <c r="H6" s="195" t="s">
        <v>16</v>
      </c>
      <c r="I6" s="196" t="s">
        <v>19</v>
      </c>
      <c r="J6" s="196" t="s">
        <v>20</v>
      </c>
      <c r="K6" s="196" t="s">
        <v>21</v>
      </c>
      <c r="L6" s="196" t="s">
        <v>22</v>
      </c>
      <c r="M6" s="196" t="s">
        <v>23</v>
      </c>
      <c r="N6" s="196" t="s">
        <v>24</v>
      </c>
      <c r="O6" s="196" t="s">
        <v>25</v>
      </c>
      <c r="P6" s="197" t="s">
        <v>38</v>
      </c>
      <c r="Q6" s="196" t="s">
        <v>26</v>
      </c>
    </row>
    <row r="7" spans="7:17" ht="23.25" thickBot="1" x14ac:dyDescent="0.35">
      <c r="G7" s="195">
        <v>1</v>
      </c>
      <c r="H7" s="100" t="str">
        <f>IF('C'!C4&lt;&gt;0,'C'!C4," ")</f>
        <v>EMBRAGUES Y CAJAS QUINTERO</v>
      </c>
      <c r="I7" s="102">
        <f>COUNTA('C'!D4,'C'!I5:I14)</f>
        <v>1</v>
      </c>
      <c r="J7" s="101">
        <f>COUNTIF('C'!$L$3:$L$14,3)</f>
        <v>1</v>
      </c>
      <c r="K7" s="101">
        <f>COUNTIF('C'!$L$3:$L$14,1)</f>
        <v>0</v>
      </c>
      <c r="L7" s="101">
        <f>COUNTIF('C'!$L$3:$L$14,0)</f>
        <v>0</v>
      </c>
      <c r="M7" s="102">
        <f>SUM('C'!$K$3:$K$14)</f>
        <v>3</v>
      </c>
      <c r="N7" s="102">
        <f>SUM('C'!$J$3:$J$14)</f>
        <v>2</v>
      </c>
      <c r="O7" s="103">
        <f t="shared" ref="O7:O18" si="0">M7-N7</f>
        <v>1</v>
      </c>
      <c r="P7" s="104">
        <f t="shared" ref="P7:P18" si="1">IF(N7&lt;&gt;0,N7/I7,"0")</f>
        <v>2</v>
      </c>
      <c r="Q7" s="103">
        <f t="shared" ref="Q7:Q18" si="2">(J7*3)+K7</f>
        <v>3</v>
      </c>
    </row>
    <row r="8" spans="7:17" ht="23.25" thickBot="1" x14ac:dyDescent="0.35">
      <c r="G8" s="198">
        <v>2</v>
      </c>
      <c r="H8" s="100" t="str">
        <f>IF('C'!C5&lt;&gt;0,'C'!C5," ")</f>
        <v>ARGENTINOS F.C</v>
      </c>
      <c r="I8" s="102">
        <f>COUNTA('C'!D5,'C'!I5,'C'!N6:N14)</f>
        <v>1</v>
      </c>
      <c r="J8" s="101">
        <f>COUNTIF('C'!$Q$3:$Q$14,3)</f>
        <v>0</v>
      </c>
      <c r="K8" s="101">
        <f>COUNTIF('C'!$Q$3:$Q$14,1)</f>
        <v>1</v>
      </c>
      <c r="L8" s="101">
        <f>COUNTIF('C'!$Q$3:$Q$14,0)</f>
        <v>0</v>
      </c>
      <c r="M8" s="102">
        <f>SUM('C'!$P$3:$P$14)</f>
        <v>2</v>
      </c>
      <c r="N8" s="102">
        <f>SUM('C'!$O$3:$O$14)</f>
        <v>2</v>
      </c>
      <c r="O8" s="103">
        <f t="shared" si="0"/>
        <v>0</v>
      </c>
      <c r="P8" s="104">
        <f t="shared" si="1"/>
        <v>2</v>
      </c>
      <c r="Q8" s="103">
        <f t="shared" si="2"/>
        <v>1</v>
      </c>
    </row>
    <row r="9" spans="7:17" ht="23.25" thickBot="1" x14ac:dyDescent="0.35">
      <c r="G9" s="195">
        <v>3</v>
      </c>
      <c r="H9" s="100" t="str">
        <f>IF('C'!C6&lt;&gt;0,'C'!C6," ")</f>
        <v>LOS PRIMOS</v>
      </c>
      <c r="I9" s="101">
        <f>COUNTA('C'!D6,'C'!I6,'C'!N6,'C'!S7:S14)</f>
        <v>1</v>
      </c>
      <c r="J9" s="101">
        <f>COUNTIF('C'!$V$3:$V$14,3)</f>
        <v>0</v>
      </c>
      <c r="K9" s="101">
        <f>COUNTIF('C'!$V$3:$V$14,1)</f>
        <v>1</v>
      </c>
      <c r="L9" s="101">
        <f>COUNTIF('C'!$V$3:$V$14,0)</f>
        <v>0</v>
      </c>
      <c r="M9" s="102">
        <f>SUM('C'!$U$3:$U$14)</f>
        <v>2</v>
      </c>
      <c r="N9" s="102">
        <f>SUM('C'!$T$3:$T$14)</f>
        <v>2</v>
      </c>
      <c r="O9" s="103">
        <f t="shared" si="0"/>
        <v>0</v>
      </c>
      <c r="P9" s="104">
        <f t="shared" si="1"/>
        <v>2</v>
      </c>
      <c r="Q9" s="103">
        <f t="shared" si="2"/>
        <v>1</v>
      </c>
    </row>
    <row r="10" spans="7:17" ht="23.25" thickBot="1" x14ac:dyDescent="0.35">
      <c r="G10" s="198">
        <v>4</v>
      </c>
      <c r="H10" s="100" t="str">
        <f>IF('C'!C7&lt;&gt;0,'C'!C7," ")</f>
        <v>MARQUESINAS MANIZALES</v>
      </c>
      <c r="I10" s="102">
        <f>COUNTA('C'!D7,'C'!I7,'C'!N7,'C'!S7,'C'!X8:X14)</f>
        <v>0</v>
      </c>
      <c r="J10" s="101">
        <f>COUNTIF('C'!$AA$3:$AA$14,3)</f>
        <v>0</v>
      </c>
      <c r="K10" s="101">
        <f>COUNTIF('C'!$AA$3:$AA$14,1)</f>
        <v>0</v>
      </c>
      <c r="L10" s="101">
        <f>COUNTIF('C'!$AA$3:$AA$14,0)</f>
        <v>0</v>
      </c>
      <c r="M10" s="102">
        <f>SUM('C'!$Z$3:$Z$14)</f>
        <v>0</v>
      </c>
      <c r="N10" s="102">
        <f>SUM('C'!$Y$3:$Y$14)</f>
        <v>0</v>
      </c>
      <c r="O10" s="103">
        <f t="shared" si="0"/>
        <v>0</v>
      </c>
      <c r="P10" s="104" t="str">
        <f t="shared" si="1"/>
        <v>0</v>
      </c>
      <c r="Q10" s="103">
        <f t="shared" si="2"/>
        <v>0</v>
      </c>
    </row>
    <row r="11" spans="7:17" ht="23.25" thickBot="1" x14ac:dyDescent="0.35">
      <c r="G11" s="195">
        <v>5</v>
      </c>
      <c r="H11" s="100" t="str">
        <f>IF('C'!C8&lt;&gt;0,'C'!C8," ")</f>
        <v xml:space="preserve"> </v>
      </c>
      <c r="I11" s="102">
        <f>COUNTA('C'!D8,'C'!I8,'C'!N8,'C'!S8,'C'!X8,'C'!AC9:AC14)</f>
        <v>0</v>
      </c>
      <c r="J11" s="101">
        <f>COUNTIF('C'!$AF$3:$AF$14,3)</f>
        <v>0</v>
      </c>
      <c r="K11" s="101">
        <f>COUNTIF('C'!$AF$3:$AF$14,1)</f>
        <v>0</v>
      </c>
      <c r="L11" s="101">
        <f>COUNTIF('C'!$AF$3:$AF$14,0)</f>
        <v>0</v>
      </c>
      <c r="M11" s="102">
        <f>SUM('C'!$AE$3:$AE$14)</f>
        <v>0</v>
      </c>
      <c r="N11" s="102">
        <f>SUM('C'!$AD$3:$AD$14)</f>
        <v>0</v>
      </c>
      <c r="O11" s="103">
        <f t="shared" si="0"/>
        <v>0</v>
      </c>
      <c r="P11" s="104" t="str">
        <f t="shared" si="1"/>
        <v>0</v>
      </c>
      <c r="Q11" s="103">
        <f t="shared" si="2"/>
        <v>0</v>
      </c>
    </row>
    <row r="12" spans="7:17" ht="23.25" thickBot="1" x14ac:dyDescent="0.35">
      <c r="G12" s="198">
        <v>6</v>
      </c>
      <c r="H12" s="100" t="str">
        <f>IF('C'!C9&lt;&gt;0,'C'!C9," ")</f>
        <v xml:space="preserve"> </v>
      </c>
      <c r="I12" s="101">
        <f>COUNTA('C'!D9,'C'!I9,'C'!N9,'C'!S9,'C'!X9,'C'!AC9,'C'!AH10:AH14)</f>
        <v>0</v>
      </c>
      <c r="J12" s="101">
        <f>COUNTIF('C'!$AK$3:$AK$14,3)</f>
        <v>0</v>
      </c>
      <c r="K12" s="101">
        <f>COUNTIF('C'!$AK$3:$AK$14,1)</f>
        <v>0</v>
      </c>
      <c r="L12" s="101">
        <f>COUNTIF('C'!$AK$3:$AK$14,0)</f>
        <v>0</v>
      </c>
      <c r="M12" s="102">
        <f>SUM('C'!$AJ$3:$AJ$14)</f>
        <v>0</v>
      </c>
      <c r="N12" s="102">
        <f>SUM('C'!$AI$3:$AI$14)</f>
        <v>0</v>
      </c>
      <c r="O12" s="103">
        <f t="shared" si="0"/>
        <v>0</v>
      </c>
      <c r="P12" s="104" t="str">
        <f t="shared" si="1"/>
        <v>0</v>
      </c>
      <c r="Q12" s="103">
        <f t="shared" si="2"/>
        <v>0</v>
      </c>
    </row>
    <row r="13" spans="7:17" ht="23.25" thickBot="1" x14ac:dyDescent="0.35">
      <c r="G13" s="195">
        <v>7</v>
      </c>
      <c r="H13" s="100" t="str">
        <f>IF('C'!C10&lt;&gt;0,'C'!C10," ")</f>
        <v xml:space="preserve"> </v>
      </c>
      <c r="I13" s="102">
        <f>COUNTA('C'!D10,'C'!I10,'C'!N10,'C'!S10,'C'!X10,'C'!AC10,'C'!AH10,'C'!AM11:AM14)</f>
        <v>0</v>
      </c>
      <c r="J13" s="101">
        <f>COUNTIF('C'!$AP$3:$AP$14,3)</f>
        <v>0</v>
      </c>
      <c r="K13" s="101">
        <f>COUNTIF('C'!$AP$3:$AP$14,1)</f>
        <v>0</v>
      </c>
      <c r="L13" s="101">
        <f>COUNTIF('C'!$AP$3:$AP$14,0)</f>
        <v>0</v>
      </c>
      <c r="M13" s="102">
        <f>SUM('C'!$AO$3:$AO$14)</f>
        <v>0</v>
      </c>
      <c r="N13" s="102">
        <f>SUM('C'!$AN$3:$AN$14)</f>
        <v>0</v>
      </c>
      <c r="O13" s="103">
        <f t="shared" si="0"/>
        <v>0</v>
      </c>
      <c r="P13" s="104" t="str">
        <f t="shared" si="1"/>
        <v>0</v>
      </c>
      <c r="Q13" s="103">
        <f t="shared" si="2"/>
        <v>0</v>
      </c>
    </row>
    <row r="14" spans="7:17" ht="23.25" thickBot="1" x14ac:dyDescent="0.35">
      <c r="G14" s="198">
        <v>8</v>
      </c>
      <c r="H14" s="100" t="str">
        <f>IF('C'!C11&lt;&gt;0,'C'!C11," ")</f>
        <v xml:space="preserve"> </v>
      </c>
      <c r="I14" s="102">
        <f>COUNTA('C'!D11,'C'!I11,'C'!N11,'C'!S11,'C'!X11,'C'!AC11,'C'!AH11,'C'!AM11,'C'!AR12:AR14)</f>
        <v>0</v>
      </c>
      <c r="J14" s="101">
        <f>COUNTIF('C'!$AU$3:$AU$14,3)</f>
        <v>0</v>
      </c>
      <c r="K14" s="101">
        <f>COUNTIF('C'!$AU$3:$AU$14,1)</f>
        <v>0</v>
      </c>
      <c r="L14" s="101">
        <f>COUNTIF('C'!$AU$3:$AU$14,0)</f>
        <v>0</v>
      </c>
      <c r="M14" s="102">
        <f>SUM('C'!$AT$3:$AT$14)</f>
        <v>0</v>
      </c>
      <c r="N14" s="102">
        <f>SUM('C'!$AS$3:$AS$14)</f>
        <v>0</v>
      </c>
      <c r="O14" s="103">
        <f t="shared" si="0"/>
        <v>0</v>
      </c>
      <c r="P14" s="104" t="str">
        <f t="shared" si="1"/>
        <v>0</v>
      </c>
      <c r="Q14" s="103">
        <f t="shared" si="2"/>
        <v>0</v>
      </c>
    </row>
    <row r="15" spans="7:17" ht="23.25" thickBot="1" x14ac:dyDescent="0.35">
      <c r="G15" s="195">
        <v>9</v>
      </c>
      <c r="H15" s="100" t="str">
        <f>IF('C'!C12&lt;&gt;0,'C'!C12," ")</f>
        <v xml:space="preserve"> </v>
      </c>
      <c r="I15" s="101">
        <f>COUNTA('C'!D12,'C'!I12,'C'!N12,'C'!S12,'C'!X12,'C'!AC12,'C'!AH12,'C'!AM12,'C'!AR12,'C'!AW13:AW14)</f>
        <v>0</v>
      </c>
      <c r="J15" s="101">
        <f>COUNTIF('C'!$AZ$3:$AZ$14,3)</f>
        <v>0</v>
      </c>
      <c r="K15" s="101">
        <f>COUNTIF('C'!$AZ$3:$AZ$14,1)</f>
        <v>0</v>
      </c>
      <c r="L15" s="101">
        <f>COUNTIF('C'!$AZ$3:$AZ$14,0)</f>
        <v>0</v>
      </c>
      <c r="M15" s="102">
        <f>SUM('C'!$AY$3:$AY$14)</f>
        <v>0</v>
      </c>
      <c r="N15" s="102">
        <f>SUM('C'!$AX$3:$AX$14)</f>
        <v>0</v>
      </c>
      <c r="O15" s="103">
        <f t="shared" si="0"/>
        <v>0</v>
      </c>
      <c r="P15" s="104" t="str">
        <f t="shared" si="1"/>
        <v>0</v>
      </c>
      <c r="Q15" s="103">
        <f t="shared" si="2"/>
        <v>0</v>
      </c>
    </row>
    <row r="16" spans="7:17" ht="23.25" thickBot="1" x14ac:dyDescent="0.35">
      <c r="G16" s="198">
        <v>10</v>
      </c>
      <c r="H16" s="100" t="str">
        <f>IF('C'!C13&lt;&gt;0,'C'!C13," ")</f>
        <v xml:space="preserve"> </v>
      </c>
      <c r="I16" s="102">
        <f>COUNTA('C'!D13,'C'!I13,'C'!N13,'C'!S13,'C'!X13,'C'!AC13,'C'!AH13,'C'!AM13,'C'!AR13,'C'!AW13,'C'!BB14)</f>
        <v>0</v>
      </c>
      <c r="J16" s="101">
        <f>COUNTIF('C'!$BE$3:$BE$14,3)</f>
        <v>0</v>
      </c>
      <c r="K16" s="101">
        <f>COUNTIF('C'!$BE$3:$BE$14,1)</f>
        <v>0</v>
      </c>
      <c r="L16" s="101">
        <f>COUNTIF('C'!$BE$3:$BE$14,0)</f>
        <v>0</v>
      </c>
      <c r="M16" s="102">
        <f>SUM('C'!$BD$3:$BD$14)</f>
        <v>0</v>
      </c>
      <c r="N16" s="102">
        <f>SUM('C'!$BC$3:$BC$14)</f>
        <v>0</v>
      </c>
      <c r="O16" s="103">
        <f t="shared" si="0"/>
        <v>0</v>
      </c>
      <c r="P16" s="104" t="str">
        <f t="shared" si="1"/>
        <v>0</v>
      </c>
      <c r="Q16" s="103">
        <f t="shared" si="2"/>
        <v>0</v>
      </c>
    </row>
    <row r="17" spans="7:17" ht="23.25" thickBot="1" x14ac:dyDescent="0.35">
      <c r="G17" s="198">
        <v>11</v>
      </c>
      <c r="H17" s="100" t="str">
        <f>IF('C'!C14&lt;&gt;0,'C'!C14," ")</f>
        <v xml:space="preserve"> </v>
      </c>
      <c r="I17" s="102">
        <f>COUNTA('C'!D14,'C'!I14,'C'!N14,'C'!S14,'C'!X14,'C'!AC14,'C'!AH14,'C'!AM14,'C'!AR14,'C'!AW14,'C'!BB14)</f>
        <v>0</v>
      </c>
      <c r="J17" s="101">
        <f>COUNTIF('C'!$BJ$3:$BJ$14,3)</f>
        <v>0</v>
      </c>
      <c r="K17" s="101">
        <f>COUNTIF('C'!$BJ$3:$BJ$14,1)</f>
        <v>0</v>
      </c>
      <c r="L17" s="101">
        <f>COUNTIF('C'!$BJ$3:$BJ$14,0)</f>
        <v>0</v>
      </c>
      <c r="M17" s="102">
        <f>SUM('C'!$BI$3:$BI$14)</f>
        <v>0</v>
      </c>
      <c r="N17" s="102">
        <f>SUM('C'!$BH$3:$BH$14)</f>
        <v>0</v>
      </c>
      <c r="O17" s="103">
        <f t="shared" si="0"/>
        <v>0</v>
      </c>
      <c r="P17" s="104" t="str">
        <f t="shared" si="1"/>
        <v>0</v>
      </c>
      <c r="Q17" s="103">
        <f t="shared" si="2"/>
        <v>0</v>
      </c>
    </row>
    <row r="18" spans="7:17" ht="23.25" thickBot="1" x14ac:dyDescent="0.35">
      <c r="G18" s="198">
        <v>12</v>
      </c>
      <c r="H18" s="100" t="str">
        <f>IF('C'!C3&lt;&gt;0,'C'!C3," ")</f>
        <v>RECONSTRUCTORA TITO</v>
      </c>
      <c r="I18" s="101">
        <f>COUNTA('C'!D4:D14)</f>
        <v>1</v>
      </c>
      <c r="J18" s="101">
        <f>COUNTIF('C'!$G$3:$G$14,3)</f>
        <v>0</v>
      </c>
      <c r="K18" s="101">
        <f>COUNTIF('C'!$G$3:$G$14,1)</f>
        <v>0</v>
      </c>
      <c r="L18" s="101">
        <f>COUNTIF('C'!$G$3:$G$14,0)</f>
        <v>1</v>
      </c>
      <c r="M18" s="102">
        <f>SUM('C'!$F$3:$F$14)</f>
        <v>2</v>
      </c>
      <c r="N18" s="102">
        <f>SUM('C'!$E$3:$E$14)</f>
        <v>3</v>
      </c>
      <c r="O18" s="103">
        <f t="shared" si="0"/>
        <v>-1</v>
      </c>
      <c r="P18" s="104">
        <f t="shared" si="1"/>
        <v>3</v>
      </c>
      <c r="Q18" s="103">
        <f t="shared" si="2"/>
        <v>0</v>
      </c>
    </row>
    <row r="19" spans="7:17" x14ac:dyDescent="0.25">
      <c r="G19" s="96"/>
      <c r="H19" s="96"/>
      <c r="I19" s="97">
        <f>SUM(I7:I18)/2</f>
        <v>2</v>
      </c>
      <c r="J19" s="97">
        <f>SUM(J7:J18)</f>
        <v>1</v>
      </c>
      <c r="K19" s="97">
        <f>SUM(K7:K18)/2</f>
        <v>1</v>
      </c>
      <c r="L19" s="97">
        <f>SUM(L7:L18)</f>
        <v>1</v>
      </c>
      <c r="M19" s="97">
        <f>SUM(M7:M18)</f>
        <v>9</v>
      </c>
      <c r="N19" s="97">
        <f>SUM(N7:N18)</f>
        <v>9</v>
      </c>
      <c r="O19" s="97"/>
      <c r="P19" s="98"/>
      <c r="Q19" s="96"/>
    </row>
  </sheetData>
  <sheetProtection algorithmName="SHA-512" hashValue="7Sya8JSKDCJ8PpmCGTC7eZsluZVvVwhoDNVPqlNk6tZLckFjyNsTF6UCXI4MegjRLZBkqJ0L80Q5IqPpcNGUjg==" saltValue="Ef+DVkVOqvJy4gNz5keo9Q==" spinCount="100000" sheet="1" objects="1" scenarios="1" formatCells="0" sort="0"/>
  <sortState ref="H7:Q18">
    <sortCondition descending="1" ref="Q7:Q18"/>
    <sortCondition descending="1" ref="O7:O18"/>
    <sortCondition ref="I7:I18"/>
    <sortCondition descending="1" ref="M7:M18"/>
    <sortCondition ref="N7:N18"/>
  </sortState>
  <mergeCells count="1">
    <mergeCell ref="H4:Q5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ACTUALIZAR_GRUPO_C">
                <anchor moveWithCells="1" sizeWithCells="1">
                  <from>
                    <xdr:col>17</xdr:col>
                    <xdr:colOff>619125</xdr:colOff>
                    <xdr:row>9</xdr:row>
                    <xdr:rowOff>38100</xdr:rowOff>
                  </from>
                  <to>
                    <xdr:col>19</xdr:col>
                    <xdr:colOff>933450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4BA79-9F39-4BFE-B999-51044B76BAB4}">
  <sheetPr codeName="Hoja26"/>
  <dimension ref="A1:BK19"/>
  <sheetViews>
    <sheetView showGridLines="0" workbookViewId="0">
      <pane xSplit="3" ySplit="2" topLeftCell="D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RowHeight="15" x14ac:dyDescent="0.25"/>
  <cols>
    <col min="1" max="1" width="20.7109375" style="7" customWidth="1"/>
    <col min="2" max="2" width="3.28515625" style="7" bestFit="1" customWidth="1"/>
    <col min="3" max="3" width="37" style="7" bestFit="1" customWidth="1"/>
    <col min="4" max="4" width="10.7109375" style="7" customWidth="1"/>
    <col min="5" max="6" width="5.7109375" style="17" customWidth="1"/>
    <col min="7" max="7" width="5.7109375" style="17" hidden="1" customWidth="1"/>
    <col min="8" max="8" width="10.7109375" style="17" customWidth="1"/>
    <col min="9" max="9" width="10.7109375" style="22" customWidth="1"/>
    <col min="10" max="11" width="5.7109375" style="17" customWidth="1"/>
    <col min="12" max="12" width="5.7109375" style="17" hidden="1" customWidth="1"/>
    <col min="13" max="13" width="10.7109375" style="17" customWidth="1"/>
    <col min="14" max="14" width="10.7109375" style="22" customWidth="1"/>
    <col min="15" max="16" width="5.7109375" style="17" customWidth="1"/>
    <col min="17" max="17" width="5.7109375" style="17" hidden="1" customWidth="1"/>
    <col min="18" max="18" width="10.7109375" style="17" customWidth="1"/>
    <col min="19" max="19" width="10.7109375" style="22" customWidth="1"/>
    <col min="20" max="21" width="5.7109375" style="17" customWidth="1"/>
    <col min="22" max="22" width="5.7109375" style="17" hidden="1" customWidth="1"/>
    <col min="23" max="23" width="10.7109375" style="17" customWidth="1"/>
    <col min="24" max="24" width="10.7109375" style="22" customWidth="1"/>
    <col min="25" max="26" width="5.7109375" style="17" customWidth="1"/>
    <col min="27" max="27" width="5.7109375" style="17" hidden="1" customWidth="1"/>
    <col min="28" max="28" width="10.7109375" style="17" customWidth="1"/>
    <col min="29" max="29" width="10.7109375" style="22" customWidth="1"/>
    <col min="30" max="31" width="5.7109375" style="17" customWidth="1"/>
    <col min="32" max="32" width="5.7109375" style="17" hidden="1" customWidth="1"/>
    <col min="33" max="33" width="10.7109375" style="17" customWidth="1"/>
    <col min="34" max="34" width="10.7109375" style="22" customWidth="1"/>
    <col min="35" max="36" width="5.7109375" style="17" customWidth="1"/>
    <col min="37" max="37" width="5.7109375" style="17" hidden="1" customWidth="1"/>
    <col min="38" max="38" width="10.7109375" style="17" customWidth="1"/>
    <col min="39" max="39" width="10.7109375" style="22" customWidth="1"/>
    <col min="40" max="41" width="5.7109375" style="17" customWidth="1"/>
    <col min="42" max="42" width="5.7109375" style="17" hidden="1" customWidth="1"/>
    <col min="43" max="43" width="10.7109375" style="17" customWidth="1"/>
    <col min="44" max="44" width="10.7109375" style="22" customWidth="1"/>
    <col min="45" max="46" width="5.7109375" style="17" customWidth="1"/>
    <col min="47" max="47" width="5.7109375" style="17" hidden="1" customWidth="1"/>
    <col min="48" max="48" width="10.7109375" style="17" customWidth="1"/>
    <col min="49" max="49" width="10.7109375" style="22" customWidth="1"/>
    <col min="50" max="51" width="5.7109375" style="17" customWidth="1"/>
    <col min="52" max="52" width="5.7109375" style="17" hidden="1" customWidth="1"/>
    <col min="53" max="53" width="10.7109375" style="17" customWidth="1"/>
    <col min="54" max="54" width="10.7109375" style="22" customWidth="1"/>
    <col min="55" max="56" width="5.7109375" style="17" customWidth="1"/>
    <col min="57" max="57" width="5.7109375" style="17" hidden="1" customWidth="1"/>
    <col min="58" max="58" width="10.7109375" style="17" customWidth="1"/>
    <col min="59" max="59" width="10.7109375" style="22" customWidth="1"/>
    <col min="60" max="61" width="5.7109375" style="17" customWidth="1"/>
    <col min="62" max="62" width="5.7109375" style="17" hidden="1" customWidth="1"/>
    <col min="63" max="63" width="10.7109375" style="17" customWidth="1"/>
    <col min="64" max="16384" width="11.42578125" style="7"/>
  </cols>
  <sheetData>
    <row r="1" spans="1:63" x14ac:dyDescent="0.25">
      <c r="A1" s="255" t="s">
        <v>128</v>
      </c>
      <c r="B1" s="257" t="s">
        <v>37</v>
      </c>
      <c r="C1" s="278" t="s">
        <v>132</v>
      </c>
      <c r="D1" s="242" t="str">
        <f>C3</f>
        <v>ABC JURIDICAS S.A.S ( A )</v>
      </c>
      <c r="E1" s="242"/>
      <c r="F1" s="242"/>
      <c r="G1" s="242"/>
      <c r="H1" s="242"/>
      <c r="I1" s="242" t="str">
        <f>C4</f>
        <v>LA PESADA</v>
      </c>
      <c r="J1" s="242"/>
      <c r="K1" s="242"/>
      <c r="L1" s="242"/>
      <c r="M1" s="242"/>
      <c r="N1" s="242" t="str">
        <f>C5</f>
        <v>OPTICA SHALOM</v>
      </c>
      <c r="O1" s="242"/>
      <c r="P1" s="242"/>
      <c r="Q1" s="242"/>
      <c r="R1" s="242"/>
      <c r="S1" s="242" t="str">
        <f>C6</f>
        <v>EL ALTO</v>
      </c>
      <c r="T1" s="242"/>
      <c r="U1" s="242"/>
      <c r="V1" s="242"/>
      <c r="W1" s="242"/>
      <c r="X1" s="242" t="str">
        <f>C7</f>
        <v>EL PARCHE</v>
      </c>
      <c r="Y1" s="242"/>
      <c r="Z1" s="242"/>
      <c r="AA1" s="242"/>
      <c r="AB1" s="242"/>
      <c r="AC1" s="242" t="str">
        <f>C8</f>
        <v>SALAMINA F.C</v>
      </c>
      <c r="AD1" s="242"/>
      <c r="AE1" s="242"/>
      <c r="AF1" s="242"/>
      <c r="AG1" s="242"/>
      <c r="AH1" s="242" t="str">
        <f>C9</f>
        <v>INTER CLUB</v>
      </c>
      <c r="AI1" s="242"/>
      <c r="AJ1" s="242"/>
      <c r="AK1" s="242"/>
      <c r="AL1" s="242"/>
      <c r="AM1" s="242" t="str">
        <f>C10</f>
        <v>ANCESTRAL S.J</v>
      </c>
      <c r="AN1" s="242"/>
      <c r="AO1" s="242"/>
      <c r="AP1" s="242"/>
      <c r="AQ1" s="242"/>
      <c r="AR1" s="242" t="str">
        <f>C11</f>
        <v>RESTAURANTE LUNA CHINA - 200 COPAS</v>
      </c>
      <c r="AS1" s="242"/>
      <c r="AT1" s="242"/>
      <c r="AU1" s="242"/>
      <c r="AV1" s="242"/>
      <c r="AW1" s="242">
        <f>C12</f>
        <v>0</v>
      </c>
      <c r="AX1" s="242"/>
      <c r="AY1" s="242"/>
      <c r="AZ1" s="242"/>
      <c r="BA1" s="242"/>
      <c r="BB1" s="242">
        <f>C13</f>
        <v>0</v>
      </c>
      <c r="BC1" s="242"/>
      <c r="BD1" s="242"/>
      <c r="BE1" s="242"/>
      <c r="BF1" s="242"/>
      <c r="BG1" s="242">
        <f>C14</f>
        <v>0</v>
      </c>
      <c r="BH1" s="242"/>
      <c r="BI1" s="242"/>
      <c r="BJ1" s="242"/>
      <c r="BK1" s="242"/>
    </row>
    <row r="2" spans="1:63" x14ac:dyDescent="0.25">
      <c r="A2" s="255"/>
      <c r="B2" s="257"/>
      <c r="C2" s="278"/>
      <c r="D2" s="8" t="s">
        <v>67</v>
      </c>
      <c r="E2" s="244" t="s">
        <v>69</v>
      </c>
      <c r="F2" s="245"/>
      <c r="G2" s="91"/>
      <c r="H2" s="20" t="s">
        <v>68</v>
      </c>
      <c r="I2" s="21" t="s">
        <v>67</v>
      </c>
      <c r="J2" s="244" t="s">
        <v>69</v>
      </c>
      <c r="K2" s="245"/>
      <c r="L2" s="91"/>
      <c r="M2" s="20" t="s">
        <v>68</v>
      </c>
      <c r="N2" s="21" t="s">
        <v>67</v>
      </c>
      <c r="O2" s="244" t="s">
        <v>69</v>
      </c>
      <c r="P2" s="245"/>
      <c r="Q2" s="91"/>
      <c r="R2" s="20" t="s">
        <v>68</v>
      </c>
      <c r="S2" s="21" t="s">
        <v>67</v>
      </c>
      <c r="T2" s="244" t="s">
        <v>69</v>
      </c>
      <c r="U2" s="245"/>
      <c r="V2" s="91"/>
      <c r="W2" s="20" t="s">
        <v>68</v>
      </c>
      <c r="X2" s="21" t="s">
        <v>67</v>
      </c>
      <c r="Y2" s="244" t="s">
        <v>69</v>
      </c>
      <c r="Z2" s="245"/>
      <c r="AA2" s="91"/>
      <c r="AB2" s="20" t="s">
        <v>68</v>
      </c>
      <c r="AC2" s="21" t="s">
        <v>67</v>
      </c>
      <c r="AD2" s="244" t="s">
        <v>69</v>
      </c>
      <c r="AE2" s="245"/>
      <c r="AF2" s="91"/>
      <c r="AG2" s="20" t="s">
        <v>68</v>
      </c>
      <c r="AH2" s="21" t="s">
        <v>67</v>
      </c>
      <c r="AI2" s="244" t="s">
        <v>69</v>
      </c>
      <c r="AJ2" s="245"/>
      <c r="AK2" s="91"/>
      <c r="AL2" s="20" t="s">
        <v>68</v>
      </c>
      <c r="AM2" s="21" t="s">
        <v>67</v>
      </c>
      <c r="AN2" s="244" t="s">
        <v>69</v>
      </c>
      <c r="AO2" s="245"/>
      <c r="AP2" s="91"/>
      <c r="AQ2" s="20" t="s">
        <v>68</v>
      </c>
      <c r="AR2" s="21" t="s">
        <v>67</v>
      </c>
      <c r="AS2" s="244" t="s">
        <v>69</v>
      </c>
      <c r="AT2" s="245"/>
      <c r="AU2" s="91"/>
      <c r="AV2" s="20" t="s">
        <v>68</v>
      </c>
      <c r="AW2" s="21" t="s">
        <v>67</v>
      </c>
      <c r="AX2" s="244" t="s">
        <v>69</v>
      </c>
      <c r="AY2" s="245"/>
      <c r="AZ2" s="91"/>
      <c r="BA2" s="20" t="s">
        <v>68</v>
      </c>
      <c r="BB2" s="21" t="s">
        <v>67</v>
      </c>
      <c r="BC2" s="244" t="s">
        <v>69</v>
      </c>
      <c r="BD2" s="245"/>
      <c r="BE2" s="91"/>
      <c r="BF2" s="20" t="s">
        <v>68</v>
      </c>
      <c r="BG2" s="21" t="s">
        <v>67</v>
      </c>
      <c r="BH2" s="244" t="s">
        <v>69</v>
      </c>
      <c r="BI2" s="245"/>
      <c r="BJ2" s="91"/>
      <c r="BK2" s="20" t="s">
        <v>68</v>
      </c>
    </row>
    <row r="3" spans="1:63" x14ac:dyDescent="0.25">
      <c r="A3" s="143" t="s">
        <v>308</v>
      </c>
      <c r="B3" s="240">
        <v>1</v>
      </c>
      <c r="C3" s="110" t="s">
        <v>134</v>
      </c>
      <c r="D3" s="243" t="s">
        <v>66</v>
      </c>
      <c r="E3" s="243"/>
      <c r="F3" s="243"/>
      <c r="G3" s="243"/>
      <c r="H3" s="243"/>
      <c r="I3" s="223">
        <f>IF(D4&lt;&gt;0,D4," ")</f>
        <v>44759</v>
      </c>
      <c r="J3" s="224">
        <f>IF(D4&lt;&gt;0,F4, " ")</f>
        <v>2</v>
      </c>
      <c r="K3" s="224">
        <f>IF(D4&lt;&gt;0,E4," ")</f>
        <v>0</v>
      </c>
      <c r="L3" s="225" t="str">
        <f>IF(D4&lt;&gt;0,IF(J3&lt;K3,"3",IF(J3&gt;K3,"0","1")),"")</f>
        <v>0</v>
      </c>
      <c r="M3" s="224">
        <f>IF(D4&lt;&gt;0,H4," ")</f>
        <v>2</v>
      </c>
      <c r="N3" s="89" t="str">
        <f>IF(D5&lt;&gt;0,D5," ")</f>
        <v xml:space="preserve"> </v>
      </c>
      <c r="O3" s="90" t="str">
        <f>IF(D5&lt;&gt;0,F5," ")</f>
        <v xml:space="preserve"> </v>
      </c>
      <c r="P3" s="90" t="str">
        <f>IF(D5&lt;&gt;0,E5," ")</f>
        <v xml:space="preserve"> </v>
      </c>
      <c r="Q3" s="16" t="str">
        <f>IF(D5&lt;&gt;0,IF(O3&lt;P3,"3",IF(O3&gt;P3,"0","1")),"")</f>
        <v/>
      </c>
      <c r="R3" s="90" t="str">
        <f>IF(D5&lt;&gt;0,H5," ")</f>
        <v xml:space="preserve"> </v>
      </c>
      <c r="S3" s="89" t="str">
        <f>IF(D6&lt;&gt;0,D6," ")</f>
        <v xml:space="preserve"> </v>
      </c>
      <c r="T3" s="90" t="str">
        <f>IF(D6&lt;&gt;0,F6," ")</f>
        <v xml:space="preserve"> </v>
      </c>
      <c r="U3" s="90" t="str">
        <f>IF(D6&lt;&gt;0,E6," ")</f>
        <v xml:space="preserve"> </v>
      </c>
      <c r="V3" s="16" t="str">
        <f>IF(D6&lt;&gt;0,IF(T3&lt;U3,"3",IF(T3&gt;U3,"0","1")),"")</f>
        <v/>
      </c>
      <c r="W3" s="18" t="str">
        <f>IF(D6&lt;&gt;0,H6," ")</f>
        <v xml:space="preserve"> </v>
      </c>
      <c r="X3" s="226" t="str">
        <f>IF(D7&lt;&gt;0,D7," ")</f>
        <v xml:space="preserve"> </v>
      </c>
      <c r="Y3" s="227" t="str">
        <f>IF(D7&lt;&gt;0,F7," ")</f>
        <v xml:space="preserve"> </v>
      </c>
      <c r="Z3" s="224" t="str">
        <f>IF(D7&lt;&gt;0,E7," ")</f>
        <v xml:space="preserve"> </v>
      </c>
      <c r="AA3" s="225" t="str">
        <f>IF(D7&lt;&gt;0,IF(Y3&lt;Z3,"3",IF(Y3&gt;Z3,"0","1")),"")</f>
        <v/>
      </c>
      <c r="AB3" s="227" t="str">
        <f>IF(D7&lt;&gt;0,H7," ")</f>
        <v xml:space="preserve"> </v>
      </c>
      <c r="AC3" s="226">
        <f>IF(D8&lt;&gt;0,D8," ")</f>
        <v>44765</v>
      </c>
      <c r="AD3" s="227">
        <f>IF(D8&lt;&gt;0,F8," ")</f>
        <v>5</v>
      </c>
      <c r="AE3" s="224">
        <f>IF(D8&lt;&gt;0,E8," ")</f>
        <v>5</v>
      </c>
      <c r="AF3" s="225" t="str">
        <f>IF(D8&lt;&gt;0,IF(AD3&lt;AE3,"3",IF(AD3&gt;AE3,"0","1")),"")</f>
        <v>1</v>
      </c>
      <c r="AG3" s="227">
        <f>IF(D8&lt;&gt;0,H8," ")</f>
        <v>4</v>
      </c>
      <c r="AH3" s="12" t="str">
        <f>IF(D9&lt;&gt;0,D9," ")</f>
        <v xml:space="preserve"> </v>
      </c>
      <c r="AI3" s="18" t="str">
        <f>IF(D9&lt;&gt;0,F9," ")</f>
        <v xml:space="preserve"> </v>
      </c>
      <c r="AJ3" s="19" t="str">
        <f>IF(D9&lt;&gt;0,E9," ")</f>
        <v xml:space="preserve"> </v>
      </c>
      <c r="AK3" s="16" t="str">
        <f>IF(D9&lt;&gt;0,IF(AI3&lt;AJ3,"3",IF(AI3&gt;AJ3,"0","1")),"")</f>
        <v/>
      </c>
      <c r="AL3" s="18" t="str">
        <f>IF(D9&lt;&gt;0,H9," ")</f>
        <v xml:space="preserve"> </v>
      </c>
      <c r="AM3" s="12" t="str">
        <f>IF(D10&lt;&gt;0,D10," ")</f>
        <v xml:space="preserve"> </v>
      </c>
      <c r="AN3" s="18" t="str">
        <f>IF(D10&lt;&gt;0,F10," ")</f>
        <v xml:space="preserve"> </v>
      </c>
      <c r="AO3" s="19" t="str">
        <f>IF(D10&lt;&gt;0,E10," ")</f>
        <v xml:space="preserve"> </v>
      </c>
      <c r="AP3" s="16" t="str">
        <f>IF(D10&lt;&gt;0,IF(AN3&lt;AO3,"3",IF(AN3&gt;AO3,"0","1")),"")</f>
        <v/>
      </c>
      <c r="AQ3" s="18" t="str">
        <f>IF(D10&lt;&gt;0,H10," ")</f>
        <v xml:space="preserve"> </v>
      </c>
      <c r="AR3" s="12" t="str">
        <f>IF(D11&lt;&gt;0,D11," ")</f>
        <v xml:space="preserve"> </v>
      </c>
      <c r="AS3" s="18" t="str">
        <f>IF(D11&lt;&gt;0,F11," ")</f>
        <v xml:space="preserve"> </v>
      </c>
      <c r="AT3" s="19" t="str">
        <f>IF(D11&lt;&gt;0,E11," ")</f>
        <v xml:space="preserve"> </v>
      </c>
      <c r="AU3" s="16" t="str">
        <f>IF(D11&lt;&gt;0,IF(AS3&lt;AT3,"3",IF(AS3&gt;AT3,"0","1")),"")</f>
        <v/>
      </c>
      <c r="AV3" s="18" t="str">
        <f>IF(D11&lt;&gt;0,H11," ")</f>
        <v xml:space="preserve"> </v>
      </c>
      <c r="AW3" s="12" t="str">
        <f>IF(D12&lt;&gt;0,D12," ")</f>
        <v xml:space="preserve"> </v>
      </c>
      <c r="AX3" s="18" t="str">
        <f>IF(D12&lt;&gt;0,F12," ")</f>
        <v xml:space="preserve"> </v>
      </c>
      <c r="AY3" s="19" t="str">
        <f>IF(D12&lt;&gt;0,E12," ")</f>
        <v xml:space="preserve"> </v>
      </c>
      <c r="AZ3" s="16" t="str">
        <f>IF(D12&lt;&gt;0,IF(AX3&lt;AY3,"3",IF(AX3&gt;AY3,"0","1")),"")</f>
        <v/>
      </c>
      <c r="BA3" s="18" t="str">
        <f>IF(D12&lt;&gt;0,H12," ")</f>
        <v xml:space="preserve"> </v>
      </c>
      <c r="BB3" s="12" t="str">
        <f>IF(D13&lt;&gt;0,D13," ")</f>
        <v xml:space="preserve"> </v>
      </c>
      <c r="BC3" s="18" t="str">
        <f>IF(D13&lt;&gt;0,F13," ")</f>
        <v xml:space="preserve"> </v>
      </c>
      <c r="BD3" s="19" t="str">
        <f>IF(D13&lt;&gt;0,E13," ")</f>
        <v xml:space="preserve"> </v>
      </c>
      <c r="BE3" s="16" t="str">
        <f>IF(D13&lt;&gt;0,IF(BC3&lt;BD3,"3",IF(BC3&gt;BD3,"0","1")),"")</f>
        <v/>
      </c>
      <c r="BF3" s="18" t="str">
        <f>IF(D13&lt;&gt;0,H13," ")</f>
        <v xml:space="preserve"> </v>
      </c>
      <c r="BG3" s="12" t="str">
        <f>IF(D14&lt;&gt;0,D14," ")</f>
        <v xml:space="preserve"> </v>
      </c>
      <c r="BH3" s="18" t="str">
        <f>IF(D14&lt;&gt;0,F14," ")</f>
        <v xml:space="preserve"> </v>
      </c>
      <c r="BI3" s="19" t="str">
        <f>IF(D14&lt;&gt;0,E14," ")</f>
        <v xml:space="preserve"> </v>
      </c>
      <c r="BJ3" s="16" t="str">
        <f>IF(D14&lt;&gt;0,IF(BH3&lt;BI3,"3",IF(BH3&gt;BI3,"0","1")),"")</f>
        <v/>
      </c>
      <c r="BK3" s="18" t="str">
        <f>IF(D14&lt;&gt;0,H14," ")</f>
        <v xml:space="preserve"> </v>
      </c>
    </row>
    <row r="4" spans="1:63" x14ac:dyDescent="0.25">
      <c r="A4" s="143"/>
      <c r="B4" s="240">
        <v>2</v>
      </c>
      <c r="C4" s="142" t="s">
        <v>153</v>
      </c>
      <c r="D4" s="220">
        <v>44759</v>
      </c>
      <c r="E4" s="221">
        <v>0</v>
      </c>
      <c r="F4" s="221">
        <v>2</v>
      </c>
      <c r="G4" s="222" t="str">
        <f>IF(D4&lt;&gt;0,IF(E4&lt;F4,"3",IF(E4&gt;F4,"0","1")),"")</f>
        <v>3</v>
      </c>
      <c r="H4" s="222">
        <v>2</v>
      </c>
      <c r="I4" s="243" t="s">
        <v>66</v>
      </c>
      <c r="J4" s="243"/>
      <c r="K4" s="243"/>
      <c r="L4" s="243"/>
      <c r="M4" s="243"/>
      <c r="N4" s="12" t="str">
        <f>IF(I5&lt;&gt;0,I5," ")</f>
        <v xml:space="preserve"> </v>
      </c>
      <c r="O4" s="18" t="str">
        <f>IF(I5&lt;&gt;0,K5," ")</f>
        <v xml:space="preserve"> </v>
      </c>
      <c r="P4" s="19" t="str">
        <f>IF(I5&lt;&gt;0,J5," ")</f>
        <v xml:space="preserve"> </v>
      </c>
      <c r="Q4" s="16" t="str">
        <f>IF(I5&lt;&gt;0,IF(O4&lt;P4,"3",IF(O4&gt;P4,"0","1")),"")</f>
        <v/>
      </c>
      <c r="R4" s="18" t="str">
        <f>IF(I5&lt;&gt;0,M5," ")</f>
        <v xml:space="preserve"> </v>
      </c>
      <c r="S4" s="226" t="str">
        <f>IF(I6&lt;&gt;0,I6," ")</f>
        <v xml:space="preserve"> </v>
      </c>
      <c r="T4" s="227" t="str">
        <f>IF(I6&lt;&gt;0,K6," ")</f>
        <v xml:space="preserve"> </v>
      </c>
      <c r="U4" s="224" t="str">
        <f>IF(I6&lt;&gt;0,J6," ")</f>
        <v xml:space="preserve"> </v>
      </c>
      <c r="V4" s="225" t="str">
        <f>IF(I6&lt;&gt;0,IF(T4&lt;U4,"3",IF(T4&gt;U4,"0","1")),"")</f>
        <v/>
      </c>
      <c r="W4" s="227" t="str">
        <f>IF(I6&lt;&gt;0,M6," ")</f>
        <v xml:space="preserve"> </v>
      </c>
      <c r="X4" s="226">
        <f>IF(I7&lt;&gt;0,I7," ")</f>
        <v>44766</v>
      </c>
      <c r="Y4" s="227">
        <f>IF(I7&lt;&gt;0,K7," ")</f>
        <v>1</v>
      </c>
      <c r="Z4" s="224">
        <f>IF(I7&lt;&gt;0,J7," ")</f>
        <v>3</v>
      </c>
      <c r="AA4" s="225" t="str">
        <f>IF(I7&lt;&gt;0,IF(Y4&lt;Z4,"3",IF(Y4&gt;Z4,"0","1")),"")</f>
        <v>3</v>
      </c>
      <c r="AB4" s="227">
        <f>IF(I7&lt;&gt;0,M7," ")</f>
        <v>1</v>
      </c>
      <c r="AC4" s="12" t="str">
        <f>IF(I8&lt;&gt;0,I8," ")</f>
        <v xml:space="preserve"> </v>
      </c>
      <c r="AD4" s="18" t="str">
        <f>IF(I8&lt;&gt;0,K8," ")</f>
        <v xml:space="preserve"> </v>
      </c>
      <c r="AE4" s="18" t="str">
        <f>IF(I8&lt;&gt;0,J8," ")</f>
        <v xml:space="preserve"> </v>
      </c>
      <c r="AF4" s="16" t="str">
        <f>IF(I8&lt;&gt;0,IF(AD4&lt;AE4,"3",IF(AD4&gt;AE4,"0","1")),"")</f>
        <v/>
      </c>
      <c r="AG4" s="18" t="str">
        <f>IF(I8&lt;&gt;0,M8," ")</f>
        <v xml:space="preserve"> </v>
      </c>
      <c r="AH4" s="12" t="str">
        <f>IF(I9&lt;&gt;0,I9," ")</f>
        <v xml:space="preserve"> </v>
      </c>
      <c r="AI4" s="18" t="str">
        <f>IF(I9&lt;&gt;0,K9," ")</f>
        <v xml:space="preserve"> </v>
      </c>
      <c r="AJ4" s="19" t="str">
        <f>IF(I9&lt;&gt;0,J9," ")</f>
        <v xml:space="preserve"> </v>
      </c>
      <c r="AK4" s="16" t="str">
        <f>IF(I9&lt;&gt;0,IF(AI4&lt;AJ4,"3",IF(AI4&gt;AJ4,"0","1")),"")</f>
        <v/>
      </c>
      <c r="AL4" s="18" t="str">
        <f>IF(I9&lt;&gt;0,M9," ")</f>
        <v xml:space="preserve"> </v>
      </c>
      <c r="AM4" s="12" t="str">
        <f>IF(I10&lt;&gt;0,I10," ")</f>
        <v xml:space="preserve"> </v>
      </c>
      <c r="AN4" s="18" t="str">
        <f>IF(I10&lt;&gt;0,K10," ")</f>
        <v xml:space="preserve"> </v>
      </c>
      <c r="AO4" s="18" t="str">
        <f>IF(I10&lt;&gt;0,J10," ")</f>
        <v xml:space="preserve"> </v>
      </c>
      <c r="AP4" s="16" t="str">
        <f>IF(I10&lt;&gt;0,IF(AN4&lt;AO4,"3",IF(AN4&gt;AO4,"0","1")),"")</f>
        <v/>
      </c>
      <c r="AQ4" s="18" t="str">
        <f>IF(I10&lt;&gt;0,M10," ")</f>
        <v xml:space="preserve"> </v>
      </c>
      <c r="AR4" s="12" t="str">
        <f>IF(I11&lt;&gt;0,I11," ")</f>
        <v xml:space="preserve"> </v>
      </c>
      <c r="AS4" s="18" t="str">
        <f>IF(I11&lt;&gt;0,K11," ")</f>
        <v xml:space="preserve"> </v>
      </c>
      <c r="AT4" s="18" t="str">
        <f>IF(I11&lt;&gt;0,J11," ")</f>
        <v xml:space="preserve"> </v>
      </c>
      <c r="AU4" s="16" t="str">
        <f>IF(I11&lt;&gt;0,IF(AS4&lt;AT4,"3",IF(AS4&gt;AT4,"0","1")),"")</f>
        <v/>
      </c>
      <c r="AV4" s="18" t="str">
        <f>IF(I11&lt;&gt;0,M11," ")</f>
        <v xml:space="preserve"> </v>
      </c>
      <c r="AW4" s="12" t="str">
        <f>IF(I12&lt;&gt;0,I12," ")</f>
        <v xml:space="preserve"> </v>
      </c>
      <c r="AX4" s="18" t="str">
        <f>IF(I12&lt;&gt;0,K12," ")</f>
        <v xml:space="preserve"> </v>
      </c>
      <c r="AY4" s="18" t="str">
        <f>IF(I12&lt;&gt;0,J12," ")</f>
        <v xml:space="preserve"> </v>
      </c>
      <c r="AZ4" s="16" t="str">
        <f>IF(I12&lt;&gt;0,IF(AX4&lt;AY4,"3",IF(AX4&gt;AY4,"0","1")),"")</f>
        <v/>
      </c>
      <c r="BA4" s="18" t="str">
        <f>IF(I12&lt;&gt;0,M12," ")</f>
        <v xml:space="preserve"> </v>
      </c>
      <c r="BB4" s="12" t="str">
        <f>IF(I13&lt;&gt;0,I13," ")</f>
        <v xml:space="preserve"> </v>
      </c>
      <c r="BC4" s="18" t="str">
        <f>IF(I13&lt;&gt;0,K13," ")</f>
        <v xml:space="preserve"> </v>
      </c>
      <c r="BD4" s="19" t="str">
        <f>IF(I13&lt;&gt;0,J13," ")</f>
        <v xml:space="preserve"> </v>
      </c>
      <c r="BE4" s="16" t="str">
        <f>IF(I13&lt;&gt;0,IF(BC4&lt;BD4,"3",IF(BC4&gt;BD4,"0","1")),"")</f>
        <v/>
      </c>
      <c r="BF4" s="18" t="str">
        <f>IF(I13&lt;&gt;0,M13," ")</f>
        <v xml:space="preserve"> </v>
      </c>
      <c r="BG4" s="12" t="str">
        <f>IF(I14&lt;&gt;0,I14," ")</f>
        <v xml:space="preserve"> </v>
      </c>
      <c r="BH4" s="18" t="str">
        <f>IF(I14&lt;&gt;0,K14," ")</f>
        <v xml:space="preserve"> </v>
      </c>
      <c r="BI4" s="19" t="str">
        <f>IF(I14&lt;&gt;0,J14," ")</f>
        <v xml:space="preserve"> </v>
      </c>
      <c r="BJ4" s="16" t="str">
        <f>IF(I14&lt;&gt;0,IF(BH4&lt;BI4,"3",IF(BH4&gt;BI4,"0","1")),"")</f>
        <v/>
      </c>
      <c r="BK4" s="18" t="str">
        <f>IF(I14&lt;&gt;0,M14," ")</f>
        <v xml:space="preserve"> </v>
      </c>
    </row>
    <row r="5" spans="1:63" x14ac:dyDescent="0.25">
      <c r="A5" s="143" t="s">
        <v>309</v>
      </c>
      <c r="B5" s="240">
        <v>3</v>
      </c>
      <c r="C5" s="110" t="s">
        <v>168</v>
      </c>
      <c r="D5" s="93"/>
      <c r="E5" s="94"/>
      <c r="F5" s="94"/>
      <c r="G5" s="95" t="str">
        <f t="shared" ref="G5:G14" si="0">IF(D5&lt;&gt;0,IF(E5&lt;F5,"3",IF(E5&gt;F5,"0","1")),"")</f>
        <v/>
      </c>
      <c r="H5" s="95"/>
      <c r="I5" s="93"/>
      <c r="J5" s="94"/>
      <c r="K5" s="94"/>
      <c r="L5" s="95" t="str">
        <f>IF(I5&lt;&gt;0,IF(J5&lt;K5,"3",IF(J5&gt;K5,"0","1")),"")</f>
        <v/>
      </c>
      <c r="M5" s="95"/>
      <c r="N5" s="243" t="s">
        <v>66</v>
      </c>
      <c r="O5" s="243"/>
      <c r="P5" s="243"/>
      <c r="Q5" s="243"/>
      <c r="R5" s="243"/>
      <c r="S5" s="226">
        <f>IF(N6&lt;&gt;0,N6," ")</f>
        <v>44766</v>
      </c>
      <c r="T5" s="227">
        <f>IF(N6&lt;&gt;0,P6," ")</f>
        <v>1</v>
      </c>
      <c r="U5" s="224">
        <f>IF(N6&lt;&gt;0,O6," ")</f>
        <v>4</v>
      </c>
      <c r="V5" s="225" t="str">
        <f>IF(N6&lt;&gt;0,IF(T5&lt;U5,"3",IF(T5&gt;U5,"0","1")),"")</f>
        <v>3</v>
      </c>
      <c r="W5" s="227">
        <f>IF(N6&lt;&gt;0,R6," ")</f>
        <v>2</v>
      </c>
      <c r="X5" s="12" t="str">
        <f>IF(N7&lt;&gt;0,N7," ")</f>
        <v xml:space="preserve"> </v>
      </c>
      <c r="Y5" s="18" t="str">
        <f>IF(N7&lt;&gt;0,P7," ")</f>
        <v xml:space="preserve"> </v>
      </c>
      <c r="Z5" s="19" t="str">
        <f>IF(N7&lt;&gt;0,O7," ")</f>
        <v xml:space="preserve"> </v>
      </c>
      <c r="AA5" s="16" t="str">
        <f>IF(N7&lt;&gt;0,IF(Y5&lt;Z5,"3",IF(Y5&gt;Z5,"0","1")),"")</f>
        <v/>
      </c>
      <c r="AB5" s="18" t="str">
        <f>IF(N7&lt;&gt;0,R7," ")</f>
        <v xml:space="preserve"> </v>
      </c>
      <c r="AC5" s="12" t="str">
        <f>IF(N8&lt;&gt;0,N8," ")</f>
        <v xml:space="preserve"> </v>
      </c>
      <c r="AD5" s="18" t="str">
        <f>IF(N8&lt;&gt;0,P8," ")</f>
        <v xml:space="preserve"> </v>
      </c>
      <c r="AE5" s="18" t="str">
        <f>IF(N8&lt;&gt;0,O8," ")</f>
        <v xml:space="preserve"> </v>
      </c>
      <c r="AF5" s="16" t="str">
        <f>IF(N8&lt;&gt;0,IF(AD5&lt;AE5,"3",IF(AD5&gt;AE5,"0","1")),"")</f>
        <v/>
      </c>
      <c r="AG5" s="18" t="str">
        <f>IF(N8&lt;&gt;0,R8," ")</f>
        <v xml:space="preserve"> </v>
      </c>
      <c r="AH5" s="12" t="str">
        <f>IF(N9&lt;&gt;0,N9," ")</f>
        <v xml:space="preserve"> </v>
      </c>
      <c r="AI5" s="18" t="str">
        <f>IF(N9&lt;&gt;0,P9," ")</f>
        <v xml:space="preserve"> </v>
      </c>
      <c r="AJ5" s="19" t="str">
        <f>IF(N9&lt;&gt;0,O9," ")</f>
        <v xml:space="preserve"> </v>
      </c>
      <c r="AK5" s="16" t="str">
        <f>IF(N9&lt;&gt;0,IF(AI5&lt;AJ5,"3",IF(AI5&gt;AJ5,"0","1")),"")</f>
        <v/>
      </c>
      <c r="AL5" s="18" t="str">
        <f>IF(N9&lt;&gt;0,R9," ")</f>
        <v xml:space="preserve"> </v>
      </c>
      <c r="AM5" s="12" t="str">
        <f>IF(N10&lt;&gt;0,N10," ")</f>
        <v xml:space="preserve"> </v>
      </c>
      <c r="AN5" s="18" t="str">
        <f>IF(N10&lt;&gt;0,P10," ")</f>
        <v xml:space="preserve"> </v>
      </c>
      <c r="AO5" s="19" t="str">
        <f>IF(N10&lt;&gt;0,O10," ")</f>
        <v xml:space="preserve"> </v>
      </c>
      <c r="AP5" s="16" t="str">
        <f>IF(N10&lt;&gt;0,IF(AN5&lt;AO5,"3",IF(AN5&gt;AO5,"0","1")),"")</f>
        <v/>
      </c>
      <c r="AQ5" s="18" t="str">
        <f>IF(N10&lt;&gt;0,R10," ")</f>
        <v xml:space="preserve"> </v>
      </c>
      <c r="AR5" s="226" t="str">
        <f>IF(N11&lt;&gt;0,N11," ")</f>
        <v xml:space="preserve"> </v>
      </c>
      <c r="AS5" s="227" t="str">
        <f>IF(N11&lt;&gt;0,P11," ")</f>
        <v xml:space="preserve"> </v>
      </c>
      <c r="AT5" s="224" t="str">
        <f>IF(N11&lt;&gt;0,O11," ")</f>
        <v xml:space="preserve"> </v>
      </c>
      <c r="AU5" s="225" t="str">
        <f>IF(N11&lt;&gt;0,IF(AS5&lt;AT5,"3",IF(AS5&gt;AT5,"0","1")),"")</f>
        <v/>
      </c>
      <c r="AV5" s="227" t="str">
        <f>IF(N11&lt;&gt;0,R11," ")</f>
        <v xml:space="preserve"> </v>
      </c>
      <c r="AW5" s="12" t="str">
        <f>IF(N12&lt;&gt;0,N12," ")</f>
        <v xml:space="preserve"> </v>
      </c>
      <c r="AX5" s="18" t="str">
        <f>IF(N12&lt;&gt;0,P12," ")</f>
        <v xml:space="preserve"> </v>
      </c>
      <c r="AY5" s="18" t="str">
        <f>IF(N12&lt;&gt;0,O12," ")</f>
        <v xml:space="preserve"> </v>
      </c>
      <c r="AZ5" s="16" t="str">
        <f>IF(N12&lt;&gt;0,IF(AX5&lt;AY5,"3",IF(AX5&gt;AY5,"0","1")),"")</f>
        <v/>
      </c>
      <c r="BA5" s="18" t="str">
        <f>IF(N12&lt;&gt;0,R12," ")</f>
        <v xml:space="preserve"> </v>
      </c>
      <c r="BB5" s="12" t="str">
        <f>IF(N13&lt;&gt;0,N13," ")</f>
        <v xml:space="preserve"> </v>
      </c>
      <c r="BC5" s="18" t="str">
        <f>IF(N13&lt;&gt;0,P13," ")</f>
        <v xml:space="preserve"> </v>
      </c>
      <c r="BD5" s="19" t="str">
        <f>IF(N13&lt;&gt;0,O13," ")</f>
        <v xml:space="preserve"> </v>
      </c>
      <c r="BE5" s="16" t="str">
        <f>IF(N13&lt;&gt;0,IF(BC5&lt;BD5,"3",IF(BC5&gt;BD5,"0","1")),"")</f>
        <v/>
      </c>
      <c r="BF5" s="18" t="str">
        <f>IF(N13&lt;&gt;0,R13," ")</f>
        <v xml:space="preserve"> </v>
      </c>
      <c r="BG5" s="12" t="str">
        <f>IF(N14&lt;&gt;0,N14," ")</f>
        <v xml:space="preserve"> </v>
      </c>
      <c r="BH5" s="18" t="str">
        <f>IF(N14&lt;&gt;0,P14," ")</f>
        <v xml:space="preserve"> </v>
      </c>
      <c r="BI5" s="19" t="str">
        <f>IF(N14&lt;&gt;0,O14," ")</f>
        <v xml:space="preserve"> </v>
      </c>
      <c r="BJ5" s="16" t="str">
        <f>IF(N14&lt;&gt;0,IF(BH5&lt;BI5,"3",IF(BH5&gt;BI5,"0","1")),"")</f>
        <v/>
      </c>
      <c r="BK5" s="18" t="str">
        <f>IF(N14&lt;&gt;0,R14," ")</f>
        <v xml:space="preserve"> </v>
      </c>
    </row>
    <row r="6" spans="1:63" x14ac:dyDescent="0.25">
      <c r="A6" s="143"/>
      <c r="B6" s="240">
        <v>4</v>
      </c>
      <c r="C6" s="110" t="s">
        <v>204</v>
      </c>
      <c r="D6" s="93"/>
      <c r="E6" s="94"/>
      <c r="F6" s="94"/>
      <c r="G6" s="95" t="str">
        <f t="shared" si="0"/>
        <v/>
      </c>
      <c r="H6" s="95"/>
      <c r="I6" s="220"/>
      <c r="J6" s="221"/>
      <c r="K6" s="221"/>
      <c r="L6" s="222" t="str">
        <f t="shared" ref="L6:L14" si="1">IF(I6&lt;&gt;0,IF(J6&lt;K6,"3",IF(J6&gt;K6,"0","1")),"")</f>
        <v/>
      </c>
      <c r="M6" s="222"/>
      <c r="N6" s="220">
        <v>44766</v>
      </c>
      <c r="O6" s="221">
        <v>4</v>
      </c>
      <c r="P6" s="221">
        <v>1</v>
      </c>
      <c r="Q6" s="222" t="str">
        <f>IF(N6&lt;&gt;0,IF(O6&lt;P6,"3",IF(O6&gt;P6,"0","1")),"")</f>
        <v>0</v>
      </c>
      <c r="R6" s="222">
        <v>2</v>
      </c>
      <c r="S6" s="243" t="s">
        <v>66</v>
      </c>
      <c r="T6" s="243"/>
      <c r="U6" s="243"/>
      <c r="V6" s="243"/>
      <c r="W6" s="243"/>
      <c r="X6" s="12" t="str">
        <f>IF(S7&lt;&gt;0,S7," ")</f>
        <v xml:space="preserve"> </v>
      </c>
      <c r="Y6" s="18" t="str">
        <f>IF(S7&lt;&gt;0,U7," ")</f>
        <v xml:space="preserve"> </v>
      </c>
      <c r="Z6" s="18" t="str">
        <f>IF(S7&lt;&gt;0,T7," ")</f>
        <v xml:space="preserve"> </v>
      </c>
      <c r="AA6" s="16" t="str">
        <f>IF(S7&lt;&gt;0,IF(Y6&lt;Z6,"3",IF(Y6&gt;Z6,"0","1")),"")</f>
        <v/>
      </c>
      <c r="AB6" s="18" t="str">
        <f>IF(S7&lt;&gt;0,W7," ")</f>
        <v xml:space="preserve"> </v>
      </c>
      <c r="AC6" s="12" t="str">
        <f>IF(S8&lt;&gt;0,S8," ")</f>
        <v xml:space="preserve"> </v>
      </c>
      <c r="AD6" s="18" t="str">
        <f>IF(S8&lt;&gt;0,U8," ")</f>
        <v xml:space="preserve"> </v>
      </c>
      <c r="AE6" s="19" t="str">
        <f>IF(S8&lt;&gt;0,T8," ")</f>
        <v xml:space="preserve"> </v>
      </c>
      <c r="AF6" s="16" t="str">
        <f>IF(S8&lt;&gt;0,IF(AD6&lt;AE6,"3",IF(AD6&gt;AE6,"0","1")),"")</f>
        <v/>
      </c>
      <c r="AG6" s="18" t="str">
        <f>IF(S8&lt;&gt;0,W8," ")</f>
        <v xml:space="preserve"> </v>
      </c>
      <c r="AH6" s="12" t="str">
        <f>IF(S9&lt;&gt;0,S9," ")</f>
        <v xml:space="preserve"> </v>
      </c>
      <c r="AI6" s="18" t="str">
        <f>IF(S9&lt;&gt;0,U9," ")</f>
        <v xml:space="preserve"> </v>
      </c>
      <c r="AJ6" s="19" t="str">
        <f>IF(S9&lt;&gt;0,T9," ")</f>
        <v xml:space="preserve"> </v>
      </c>
      <c r="AK6" s="16" t="str">
        <f>IF(S9&lt;&gt;0,IF(AI6&lt;AJ6,"3",IF(AI6&gt;AJ6,"0","1")),"")</f>
        <v/>
      </c>
      <c r="AL6" s="18" t="str">
        <f>IF(S9&lt;&gt;0,W9," ")</f>
        <v xml:space="preserve"> </v>
      </c>
      <c r="AM6" s="12" t="str">
        <f>IF(S10&lt;&gt;0,S10," ")</f>
        <v xml:space="preserve"> </v>
      </c>
      <c r="AN6" s="18" t="str">
        <f>IF(S10&lt;&gt;0,U10," ")</f>
        <v xml:space="preserve"> </v>
      </c>
      <c r="AO6" s="19" t="str">
        <f>IF(S10&lt;&gt;0,T10," ")</f>
        <v xml:space="preserve"> </v>
      </c>
      <c r="AP6" s="16" t="str">
        <f>IF(S10&lt;&gt;0,IF(AN6&lt;AO6,"3",IF(AN6&gt;AO6,"0","1")),"")</f>
        <v/>
      </c>
      <c r="AQ6" s="18" t="str">
        <f>IF(S10&lt;&gt;0,W10," ")</f>
        <v xml:space="preserve"> </v>
      </c>
      <c r="AR6" s="12" t="str">
        <f>IF(S11&lt;&gt;0,S11," ")</f>
        <v xml:space="preserve"> </v>
      </c>
      <c r="AS6" s="18" t="str">
        <f>IF(S11&lt;&gt;0,U11," ")</f>
        <v xml:space="preserve"> </v>
      </c>
      <c r="AT6" s="18" t="str">
        <f>IF(S11&lt;&gt;0,T11," ")</f>
        <v xml:space="preserve"> </v>
      </c>
      <c r="AU6" s="16" t="str">
        <f>IF(S11&lt;&gt;0,IF(AS6&lt;AT6,"3",IF(AS6&gt;AT6,"0","1")),"")</f>
        <v/>
      </c>
      <c r="AV6" s="18" t="str">
        <f>IF(S11&lt;&gt;0,W11," ")</f>
        <v xml:space="preserve"> </v>
      </c>
      <c r="AW6" s="12" t="str">
        <f>IF(S12&lt;&gt;0,S12," ")</f>
        <v xml:space="preserve"> </v>
      </c>
      <c r="AX6" s="18" t="str">
        <f>IF(S12&lt;&gt;0,U12," ")</f>
        <v xml:space="preserve"> </v>
      </c>
      <c r="AY6" s="18" t="str">
        <f>IF(S12&lt;&gt;0,T12," ")</f>
        <v xml:space="preserve"> </v>
      </c>
      <c r="AZ6" s="16" t="str">
        <f>IF(S12&lt;&gt;0,IF(AX6&lt;AY6,"3",IF(AX6&gt;AY6,"0","1")),"")</f>
        <v/>
      </c>
      <c r="BA6" s="18" t="str">
        <f>IF(S12&lt;&gt;0,W12," ")</f>
        <v xml:space="preserve"> </v>
      </c>
      <c r="BB6" s="12" t="str">
        <f>IF(S13&lt;&gt;0,S13," ")</f>
        <v xml:space="preserve"> </v>
      </c>
      <c r="BC6" s="18" t="str">
        <f>IF(S13&lt;&gt;0,U13," ")</f>
        <v xml:space="preserve"> </v>
      </c>
      <c r="BD6" s="19" t="str">
        <f>IF(S13&lt;&gt;0,T13," ")</f>
        <v xml:space="preserve"> </v>
      </c>
      <c r="BE6" s="16" t="str">
        <f>IF(S13&lt;&gt;0,IF(BC6&lt;BD6,"3",IF(BC6&gt;BD6,"0","1")),"")</f>
        <v/>
      </c>
      <c r="BF6" s="18" t="str">
        <f>IF(S13&lt;&gt;0,W13," ")</f>
        <v xml:space="preserve"> </v>
      </c>
      <c r="BG6" s="12" t="str">
        <f>IF(S14&lt;&gt;0,S14," ")</f>
        <v xml:space="preserve"> </v>
      </c>
      <c r="BH6" s="18" t="str">
        <f>IF(S14&lt;&gt;0,U14," ")</f>
        <v xml:space="preserve"> </v>
      </c>
      <c r="BI6" s="19" t="str">
        <f>IF(S14&lt;&gt;0,T14," ")</f>
        <v xml:space="preserve"> </v>
      </c>
      <c r="BJ6" s="16" t="str">
        <f>IF(S14&lt;&gt;0,IF(BH6&lt;BI6,"3",IF(BH6&gt;BI6,"0","1")),"")</f>
        <v/>
      </c>
      <c r="BK6" s="18" t="str">
        <f>IF(S14&lt;&gt;0,W14," ")</f>
        <v xml:space="preserve"> </v>
      </c>
    </row>
    <row r="7" spans="1:63" x14ac:dyDescent="0.25">
      <c r="A7" s="143" t="s">
        <v>303</v>
      </c>
      <c r="B7" s="240">
        <v>5</v>
      </c>
      <c r="C7" s="110" t="s">
        <v>145</v>
      </c>
      <c r="D7" s="220"/>
      <c r="E7" s="221"/>
      <c r="F7" s="221"/>
      <c r="G7" s="222" t="str">
        <f t="shared" si="0"/>
        <v/>
      </c>
      <c r="H7" s="222"/>
      <c r="I7" s="220">
        <v>44766</v>
      </c>
      <c r="J7" s="221">
        <v>3</v>
      </c>
      <c r="K7" s="221">
        <v>1</v>
      </c>
      <c r="L7" s="222" t="str">
        <f t="shared" si="1"/>
        <v>0</v>
      </c>
      <c r="M7" s="222">
        <v>1</v>
      </c>
      <c r="N7" s="93"/>
      <c r="O7" s="94"/>
      <c r="P7" s="94"/>
      <c r="Q7" s="95" t="str">
        <f t="shared" ref="Q7:Q14" si="2">IF(N7&lt;&gt;0,IF(O7&lt;P7,"3",IF(O7&gt;P7,"0","1")),"")</f>
        <v/>
      </c>
      <c r="R7" s="95"/>
      <c r="S7" s="93"/>
      <c r="T7" s="94"/>
      <c r="U7" s="94"/>
      <c r="V7" s="95" t="str">
        <f>IF(S7&lt;&gt;0,IF(T7&lt;U7,"3",IF(T7&gt;U7,"0","1")),"")</f>
        <v/>
      </c>
      <c r="W7" s="95"/>
      <c r="X7" s="243" t="s">
        <v>66</v>
      </c>
      <c r="Y7" s="243"/>
      <c r="Z7" s="243"/>
      <c r="AA7" s="243"/>
      <c r="AB7" s="243"/>
      <c r="AC7" s="12" t="str">
        <f>IF(X8&lt;&gt;0,X8," ")</f>
        <v xml:space="preserve"> </v>
      </c>
      <c r="AD7" s="18" t="str">
        <f>IF(X8&lt;&gt;0,Z8," ")</f>
        <v xml:space="preserve"> </v>
      </c>
      <c r="AE7" s="19" t="str">
        <f>IF(X8&lt;&gt;0,Y8," ")</f>
        <v xml:space="preserve"> </v>
      </c>
      <c r="AF7" s="16" t="str">
        <f>IF(X8&lt;&gt;0,IF(AD7&lt;AE7,"3",IF(AD7&gt;AE7,"0","1")),"")</f>
        <v/>
      </c>
      <c r="AG7" s="18" t="str">
        <f>IF(X8&lt;&gt;0,AB8," ")</f>
        <v xml:space="preserve"> </v>
      </c>
      <c r="AH7" s="12" t="str">
        <f>IF(X9&lt;&gt;0,X9," ")</f>
        <v xml:space="preserve"> </v>
      </c>
      <c r="AI7" s="18" t="str">
        <f>IF(X9&lt;&gt;0,Z9," ")</f>
        <v xml:space="preserve"> </v>
      </c>
      <c r="AJ7" s="18" t="str">
        <f>IF(X9&lt;&gt;0,Y9," ")</f>
        <v xml:space="preserve"> </v>
      </c>
      <c r="AK7" s="16" t="str">
        <f>IF(X9&lt;&gt;0,IF(AI7&lt;AJ7,"3",IF(AI7&gt;AJ7,"0","1")),"")</f>
        <v/>
      </c>
      <c r="AL7" s="18" t="str">
        <f>IF(X9&lt;&gt;0,AB9," ")</f>
        <v xml:space="preserve"> </v>
      </c>
      <c r="AM7" s="12" t="str">
        <f>IF(X10&lt;&gt;0,X10," ")</f>
        <v xml:space="preserve"> </v>
      </c>
      <c r="AN7" s="18" t="str">
        <f>IF(X10&lt;&gt;0,Z10," ")</f>
        <v xml:space="preserve"> </v>
      </c>
      <c r="AO7" s="18" t="str">
        <f>IF(X10&lt;&gt;0,Y10," ")</f>
        <v xml:space="preserve"> </v>
      </c>
      <c r="AP7" s="16" t="str">
        <f>IF(X10&lt;&gt;0,IF(AN7&lt;AO7,"3",IF(AN7&gt;AO7,"0","1")),"")</f>
        <v/>
      </c>
      <c r="AQ7" s="18" t="str">
        <f>IF(X10&lt;&gt;0,AB10," ")</f>
        <v xml:space="preserve"> </v>
      </c>
      <c r="AR7" s="12" t="str">
        <f>IF(X11&lt;&gt;0,X11," ")</f>
        <v xml:space="preserve"> </v>
      </c>
      <c r="AS7" s="18" t="str">
        <f>IF(X11&lt;&gt;0,Z11," ")</f>
        <v xml:space="preserve"> </v>
      </c>
      <c r="AT7" s="18" t="str">
        <f>IF(X11&lt;&gt;0,Y11," ")</f>
        <v xml:space="preserve"> </v>
      </c>
      <c r="AU7" s="16" t="str">
        <f>IF(X11&lt;&gt;0,IF(AS7&lt;AT7,"3",IF(AS7&gt;AT7,"0","1")),"")</f>
        <v/>
      </c>
      <c r="AV7" s="18" t="str">
        <f>IF(X11&lt;&gt;0,AB11," ")</f>
        <v xml:space="preserve"> </v>
      </c>
      <c r="AW7" s="12" t="str">
        <f>IF(X12&lt;&gt;0,X12," ")</f>
        <v xml:space="preserve"> </v>
      </c>
      <c r="AX7" s="18" t="str">
        <f>IF(X12&lt;&gt;0,Z12," ")</f>
        <v xml:space="preserve"> </v>
      </c>
      <c r="AY7" s="19" t="str">
        <f>IF(X12&lt;&gt;0,Y12," ")</f>
        <v xml:space="preserve"> </v>
      </c>
      <c r="AZ7" s="16" t="str">
        <f>IF(X12&lt;&gt;0,IF(AX7&lt;AY7,"3",IF(AX7&gt;AY7,"0","1")),"")</f>
        <v/>
      </c>
      <c r="BA7" s="18" t="str">
        <f>IF(X12&lt;&gt;0,AB12," ")</f>
        <v xml:space="preserve"> </v>
      </c>
      <c r="BB7" s="12" t="str">
        <f>IF(X13&lt;&gt;0,X13," ")</f>
        <v xml:space="preserve"> </v>
      </c>
      <c r="BC7" s="18" t="str">
        <f>IF(X13&lt;&gt;0,Z13," ")</f>
        <v xml:space="preserve"> </v>
      </c>
      <c r="BD7" s="18" t="str">
        <f>IF(X13&lt;&gt;0,Y13," ")</f>
        <v xml:space="preserve"> </v>
      </c>
      <c r="BE7" s="16" t="str">
        <f>IF(X13&lt;&gt;0,IF(BC7&lt;BD7,"3",IF(BC7&gt;BD7,"0","1")),"")</f>
        <v/>
      </c>
      <c r="BF7" s="18" t="str">
        <f>IF(X13&lt;&gt;0,AB13," ")</f>
        <v xml:space="preserve"> </v>
      </c>
      <c r="BG7" s="12" t="str">
        <f>IF(X14&lt;&gt;0,X14," ")</f>
        <v xml:space="preserve"> </v>
      </c>
      <c r="BH7" s="18" t="str">
        <f>IF(X14&lt;&gt;0,Z14," ")</f>
        <v xml:space="preserve"> </v>
      </c>
      <c r="BI7" s="19" t="str">
        <f>IF(X14&lt;&gt;0,Y14," ")</f>
        <v xml:space="preserve"> </v>
      </c>
      <c r="BJ7" s="16" t="str">
        <f>IF(X14&lt;&gt;0,IF(BH7&lt;BI7,"3",IF(BH7&gt;BI7,"0","1")),"")</f>
        <v/>
      </c>
      <c r="BK7" s="18" t="str">
        <f>IF(X14&lt;&gt;0,AB14," ")</f>
        <v xml:space="preserve"> </v>
      </c>
    </row>
    <row r="8" spans="1:63" x14ac:dyDescent="0.25">
      <c r="A8" s="143"/>
      <c r="B8" s="192">
        <v>6</v>
      </c>
      <c r="C8" s="110" t="s">
        <v>173</v>
      </c>
      <c r="D8" s="220">
        <v>44765</v>
      </c>
      <c r="E8" s="221">
        <v>5</v>
      </c>
      <c r="F8" s="221">
        <v>5</v>
      </c>
      <c r="G8" s="222" t="str">
        <f t="shared" si="0"/>
        <v>1</v>
      </c>
      <c r="H8" s="222">
        <v>4</v>
      </c>
      <c r="I8" s="93"/>
      <c r="J8" s="94"/>
      <c r="K8" s="94"/>
      <c r="L8" s="95" t="str">
        <f t="shared" si="1"/>
        <v/>
      </c>
      <c r="M8" s="95"/>
      <c r="N8" s="93"/>
      <c r="O8" s="94"/>
      <c r="P8" s="94"/>
      <c r="Q8" s="95" t="str">
        <f t="shared" si="2"/>
        <v/>
      </c>
      <c r="R8" s="95"/>
      <c r="S8" s="93"/>
      <c r="T8" s="94"/>
      <c r="U8" s="94"/>
      <c r="V8" s="95" t="str">
        <f t="shared" ref="V8:V14" si="3">IF(S8&lt;&gt;0,IF(T8&lt;U8,"3",IF(T8&gt;U8,"0","1")),"")</f>
        <v/>
      </c>
      <c r="W8" s="95"/>
      <c r="X8" s="93"/>
      <c r="Y8" s="94"/>
      <c r="Z8" s="94"/>
      <c r="AA8" s="95" t="str">
        <f>IF(X8&lt;&gt;0,IF(Y8&lt;Z8,"3",IF(Y8&gt;Z8,"0","1")),"")</f>
        <v/>
      </c>
      <c r="AB8" s="95"/>
      <c r="AC8" s="243" t="s">
        <v>66</v>
      </c>
      <c r="AD8" s="243"/>
      <c r="AE8" s="243"/>
      <c r="AF8" s="243"/>
      <c r="AG8" s="243"/>
      <c r="AH8" s="12" t="str">
        <f>IF(AC9&lt;&gt;0,AC9," ")</f>
        <v xml:space="preserve"> </v>
      </c>
      <c r="AI8" s="18" t="str">
        <f>IF(AC9&lt;&gt;0,AE9," ")</f>
        <v xml:space="preserve"> </v>
      </c>
      <c r="AJ8" s="19" t="str">
        <f>IF(AC9&lt;&gt;0,AD9," ")</f>
        <v xml:space="preserve"> </v>
      </c>
      <c r="AK8" s="16" t="str">
        <f>IF(AC9&lt;&gt;0,IF(AI8&lt;AJ8,"3",IF(AI8&gt;AJ8,"0","1")),"")</f>
        <v/>
      </c>
      <c r="AL8" s="18" t="str">
        <f>IF(AC9&lt;&gt;0,AG9," ")</f>
        <v xml:space="preserve"> </v>
      </c>
      <c r="AM8" s="12" t="str">
        <f>IF(AC10&lt;&gt;0,AC10," ")</f>
        <v xml:space="preserve"> </v>
      </c>
      <c r="AN8" s="18" t="str">
        <f>IF(AC10&lt;&gt;0,AE10," ")</f>
        <v xml:space="preserve"> </v>
      </c>
      <c r="AO8" s="19" t="str">
        <f>IF(AC10&lt;&gt;0,AD10," ")</f>
        <v xml:space="preserve"> </v>
      </c>
      <c r="AP8" s="16" t="str">
        <f>IF(AC10&lt;&gt;0,IF(AN8&lt;AO8,"3",IF(AN8&gt;AO8,"0","1")),"")</f>
        <v/>
      </c>
      <c r="AQ8" s="18" t="str">
        <f>IF(AC10&lt;&gt;0,AG10," ")</f>
        <v xml:space="preserve"> </v>
      </c>
      <c r="AR8" s="12" t="str">
        <f>IF(AC11&lt;&gt;0,AC11," ")</f>
        <v xml:space="preserve"> </v>
      </c>
      <c r="AS8" s="18" t="str">
        <f>IF(AC11&lt;&gt;0,AE11," ")</f>
        <v xml:space="preserve"> </v>
      </c>
      <c r="AT8" s="18" t="str">
        <f>IF(AC11&lt;&gt;0,AD11," ")</f>
        <v xml:space="preserve"> </v>
      </c>
      <c r="AU8" s="16" t="str">
        <f>IF(AC11&lt;&gt;0,IF(AS8&lt;AT8,"3",IF(AS8&gt;AT8,"0","1")),"")</f>
        <v/>
      </c>
      <c r="AV8" s="19" t="str">
        <f>IF(AC11&lt;&gt;0,AG11," ")</f>
        <v xml:space="preserve"> </v>
      </c>
      <c r="AW8" s="12" t="str">
        <f>IF(AC12&lt;&gt;0,AC12," ")</f>
        <v xml:space="preserve"> </v>
      </c>
      <c r="AX8" s="18" t="str">
        <f>IF(AC12&lt;&gt;0,AE12," ")</f>
        <v xml:space="preserve"> </v>
      </c>
      <c r="AY8" s="19" t="str">
        <f>IF(AC12&lt;&gt;0,AD12," ")</f>
        <v xml:space="preserve"> </v>
      </c>
      <c r="AZ8" s="16" t="str">
        <f>IF(AC12&lt;&gt;0,IF(AX8&lt;AY8,"3",IF(AX8&gt;AY8,"0","1")),"")</f>
        <v/>
      </c>
      <c r="BA8" s="19" t="str">
        <f>IF(AC12&lt;&gt;0,AG12," ")</f>
        <v xml:space="preserve"> </v>
      </c>
      <c r="BB8" s="12" t="str">
        <f>IF(AC13&lt;&gt;0,AC13," ")</f>
        <v xml:space="preserve"> </v>
      </c>
      <c r="BC8" s="18" t="str">
        <f>IF(AC13&lt;&gt;0,AE13," ")</f>
        <v xml:space="preserve"> </v>
      </c>
      <c r="BD8" s="18" t="str">
        <f>IF(AC13&lt;&gt;0,AD13," ")</f>
        <v xml:space="preserve"> </v>
      </c>
      <c r="BE8" s="16" t="str">
        <f>IF(AC13&lt;&gt;0,IF(BC8&lt;BD8,"3",IF(BC8&gt;BD8,"0","1")),"")</f>
        <v/>
      </c>
      <c r="BF8" s="18" t="str">
        <f>IF(AC13&lt;&gt;0,AG13," ")</f>
        <v xml:space="preserve"> </v>
      </c>
      <c r="BG8" s="12" t="str">
        <f>IF(AC14&lt;&gt;0,AC14," ")</f>
        <v xml:space="preserve"> </v>
      </c>
      <c r="BH8" s="18" t="str">
        <f>IF(AC14&lt;&gt;0,AE14," ")</f>
        <v xml:space="preserve"> </v>
      </c>
      <c r="BI8" s="18" t="str">
        <f>IF(AC14&lt;&gt;0,AD14," ")</f>
        <v xml:space="preserve"> </v>
      </c>
      <c r="BJ8" s="16" t="str">
        <f>IF(AC14&lt;&gt;0,IF(BH8&lt;BI8,"3",IF(BH8&gt;BI8,"0","1")),"")</f>
        <v/>
      </c>
      <c r="BK8" s="18" t="str">
        <f>IF(AC14&lt;&gt;0,AG14," ")</f>
        <v xml:space="preserve"> </v>
      </c>
    </row>
    <row r="9" spans="1:63" x14ac:dyDescent="0.25">
      <c r="A9" s="143" t="s">
        <v>311</v>
      </c>
      <c r="B9" s="240">
        <v>7</v>
      </c>
      <c r="C9" s="110" t="s">
        <v>310</v>
      </c>
      <c r="D9" s="93"/>
      <c r="E9" s="94"/>
      <c r="F9" s="94"/>
      <c r="G9" s="95" t="str">
        <f t="shared" si="0"/>
        <v/>
      </c>
      <c r="H9" s="95"/>
      <c r="I9" s="93"/>
      <c r="J9" s="94"/>
      <c r="K9" s="94"/>
      <c r="L9" s="95" t="str">
        <f t="shared" si="1"/>
        <v/>
      </c>
      <c r="M9" s="95"/>
      <c r="N9" s="93"/>
      <c r="O9" s="94"/>
      <c r="P9" s="94"/>
      <c r="Q9" s="95" t="str">
        <f t="shared" si="2"/>
        <v/>
      </c>
      <c r="R9" s="95"/>
      <c r="S9" s="93"/>
      <c r="T9" s="94"/>
      <c r="U9" s="94"/>
      <c r="V9" s="95" t="str">
        <f t="shared" si="3"/>
        <v/>
      </c>
      <c r="W9" s="95"/>
      <c r="X9" s="93"/>
      <c r="Y9" s="94"/>
      <c r="Z9" s="94"/>
      <c r="AA9" s="95" t="str">
        <f t="shared" ref="AA9:AA14" si="4">IF(X9&lt;&gt;0,IF(Y9&lt;Z9,"3",IF(Y9&gt;Z9,"0","1")),"")</f>
        <v/>
      </c>
      <c r="AB9" s="95"/>
      <c r="AC9" s="93"/>
      <c r="AD9" s="94"/>
      <c r="AE9" s="94"/>
      <c r="AF9" s="95" t="str">
        <f>IF(AC9&lt;&gt;0,IF(AD9&lt;AE9,"3",IF(AD9&gt;AE9,"0","1")),"")</f>
        <v/>
      </c>
      <c r="AG9" s="95"/>
      <c r="AH9" s="243" t="s">
        <v>66</v>
      </c>
      <c r="AI9" s="243"/>
      <c r="AJ9" s="243"/>
      <c r="AK9" s="243"/>
      <c r="AL9" s="243"/>
      <c r="AM9" s="226" t="str">
        <f>IF(AH10&lt;&gt;0,AH10," ")</f>
        <v xml:space="preserve"> </v>
      </c>
      <c r="AN9" s="227" t="str">
        <f>IF(AH10&lt;&gt;0,AJ10," ")</f>
        <v xml:space="preserve"> </v>
      </c>
      <c r="AO9" s="224" t="str">
        <f>IF(AH10&lt;&gt;0,AI10," ")</f>
        <v xml:space="preserve"> </v>
      </c>
      <c r="AP9" s="225" t="str">
        <f>IF(AH10&lt;&gt;0,IF(AN9&lt;AO9,"3",IF(AN9&gt;AO9,"0","1")),"")</f>
        <v/>
      </c>
      <c r="AQ9" s="227" t="str">
        <f>IF(AH10&lt;&gt;0,AL10," ")</f>
        <v xml:space="preserve"> </v>
      </c>
      <c r="AR9" s="12" t="str">
        <f>IF(AH11&lt;&gt;0,AH11," ")</f>
        <v xml:space="preserve"> </v>
      </c>
      <c r="AS9" s="18" t="str">
        <f>IF(AH11&lt;&gt;0,AJ11," ")</f>
        <v xml:space="preserve"> </v>
      </c>
      <c r="AT9" s="19" t="str">
        <f>IF(AH11&lt;&gt;0,AI11," ")</f>
        <v xml:space="preserve"> </v>
      </c>
      <c r="AU9" s="16" t="str">
        <f>IF(AH11&lt;&gt;0,IF(AS9&lt;AT9,"3",IF(AS9&gt;AT9,"0","1")),"")</f>
        <v/>
      </c>
      <c r="AV9" s="18" t="str">
        <f>IF(AH11&lt;&gt;0,AL11," ")</f>
        <v xml:space="preserve"> </v>
      </c>
      <c r="AW9" s="12" t="str">
        <f>IF(AH12&lt;&gt;0,AH12," ")</f>
        <v xml:space="preserve"> </v>
      </c>
      <c r="AX9" s="18" t="str">
        <f>IF(AH12&lt;&gt;0,AJ12," ")</f>
        <v xml:space="preserve"> </v>
      </c>
      <c r="AY9" s="18" t="str">
        <f>IF(AH12&lt;&gt;0,AI12," ")</f>
        <v xml:space="preserve"> </v>
      </c>
      <c r="AZ9" s="16" t="str">
        <f>IF(AH12&lt;&gt;0,IF(AX9&lt;AY9,"3",IF(AX9&gt;AY9,"0","1")),"")</f>
        <v/>
      </c>
      <c r="BA9" s="18" t="str">
        <f>IF(AH12&lt;&gt;0,AL12," ")</f>
        <v xml:space="preserve"> </v>
      </c>
      <c r="BB9" s="12" t="str">
        <f>IF(AH13&lt;&gt;0,AH13," ")</f>
        <v xml:space="preserve"> </v>
      </c>
      <c r="BC9" s="18" t="str">
        <f>IF(AH13&lt;&gt;0,AJ13," ")</f>
        <v xml:space="preserve"> </v>
      </c>
      <c r="BD9" s="19" t="str">
        <f>IF(AH13&lt;&gt;0,AI13," ")</f>
        <v xml:space="preserve"> </v>
      </c>
      <c r="BE9" s="16" t="str">
        <f>IF(AH13&lt;&gt;0,IF(BC9&lt;BD9,"3",IF(BC9&gt;BD9,"0","1")),"")</f>
        <v/>
      </c>
      <c r="BF9" s="18" t="str">
        <f>IF(AH13&lt;&gt;0,AL13," ")</f>
        <v xml:space="preserve"> </v>
      </c>
      <c r="BG9" s="12" t="str">
        <f>IF(AH14&lt;&gt;0,AH14," ")</f>
        <v xml:space="preserve"> </v>
      </c>
      <c r="BH9" s="18" t="str">
        <f>IF(AH14&lt;&gt;0,AJ14," ")</f>
        <v xml:space="preserve"> </v>
      </c>
      <c r="BI9" s="18" t="str">
        <f>IF(AH14&lt;&gt;0,AI14," ")</f>
        <v xml:space="preserve"> </v>
      </c>
      <c r="BJ9" s="16" t="str">
        <f>IF(AH14&lt;&gt;0,IF(BH9&lt;BI9,"3",IF(BH9&gt;BI9,"0","1")),"")</f>
        <v/>
      </c>
      <c r="BK9" s="18" t="str">
        <f>IF(AH14&lt;&gt;0,AL14," ")</f>
        <v xml:space="preserve"> </v>
      </c>
    </row>
    <row r="10" spans="1:63" x14ac:dyDescent="0.25">
      <c r="A10" s="143"/>
      <c r="B10" s="240">
        <v>8</v>
      </c>
      <c r="C10" s="110" t="s">
        <v>249</v>
      </c>
      <c r="D10" s="93"/>
      <c r="E10" s="94"/>
      <c r="F10" s="94"/>
      <c r="G10" s="95" t="str">
        <f t="shared" si="0"/>
        <v/>
      </c>
      <c r="H10" s="95"/>
      <c r="I10" s="93"/>
      <c r="J10" s="94"/>
      <c r="K10" s="94"/>
      <c r="L10" s="95" t="str">
        <f t="shared" si="1"/>
        <v/>
      </c>
      <c r="M10" s="95"/>
      <c r="N10" s="93"/>
      <c r="O10" s="94"/>
      <c r="P10" s="94"/>
      <c r="Q10" s="95" t="str">
        <f t="shared" si="2"/>
        <v/>
      </c>
      <c r="R10" s="95"/>
      <c r="S10" s="93"/>
      <c r="T10" s="94"/>
      <c r="U10" s="94"/>
      <c r="V10" s="95" t="str">
        <f t="shared" si="3"/>
        <v/>
      </c>
      <c r="W10" s="95"/>
      <c r="X10" s="93"/>
      <c r="Y10" s="94"/>
      <c r="Z10" s="94"/>
      <c r="AA10" s="95" t="str">
        <f t="shared" si="4"/>
        <v/>
      </c>
      <c r="AB10" s="95"/>
      <c r="AC10" s="93"/>
      <c r="AD10" s="94"/>
      <c r="AE10" s="94"/>
      <c r="AF10" s="95" t="str">
        <f t="shared" ref="AF10:AF14" si="5">IF(AC10&lt;&gt;0,IF(AD10&lt;AE10,"3",IF(AD10&gt;AE10,"0","1")),"")</f>
        <v/>
      </c>
      <c r="AG10" s="95"/>
      <c r="AH10" s="220"/>
      <c r="AI10" s="221"/>
      <c r="AJ10" s="221"/>
      <c r="AK10" s="222" t="str">
        <f>IF(AH10&lt;&gt;0,IF(AI10&lt;AJ10,"3",IF(AI10&gt;AJ10,"0","1")),"")</f>
        <v/>
      </c>
      <c r="AL10" s="222"/>
      <c r="AM10" s="243" t="s">
        <v>66</v>
      </c>
      <c r="AN10" s="243"/>
      <c r="AO10" s="243"/>
      <c r="AP10" s="243"/>
      <c r="AQ10" s="243"/>
      <c r="AR10" s="12" t="str">
        <f>IF(AM11&lt;&gt;0,AM11," ")</f>
        <v xml:space="preserve"> </v>
      </c>
      <c r="AS10" s="18" t="str">
        <f>IF(AM11&lt;&gt;0,AO11," ")</f>
        <v xml:space="preserve"> </v>
      </c>
      <c r="AT10" s="19" t="str">
        <f>IF(AM11&lt;&gt;0,AN11," ")</f>
        <v xml:space="preserve"> </v>
      </c>
      <c r="AU10" s="16" t="str">
        <f>IF(AM11&lt;&gt;0,IF(AS10&lt;AT10,"3",IF(AS10&gt;AT10,"0","1")),"")</f>
        <v/>
      </c>
      <c r="AV10" s="18" t="str">
        <f>IF(AM11&lt;&gt;0,AQ11," ")</f>
        <v xml:space="preserve"> </v>
      </c>
      <c r="AW10" s="12" t="str">
        <f>IF(AM12&lt;&gt;0,AM12," ")</f>
        <v xml:space="preserve"> </v>
      </c>
      <c r="AX10" s="18" t="str">
        <f>IF(AM12&lt;&gt;0,AO12," ")</f>
        <v xml:space="preserve"> </v>
      </c>
      <c r="AY10" s="18" t="str">
        <f>IF(AM12&lt;&gt;0,AN12," ")</f>
        <v xml:space="preserve"> </v>
      </c>
      <c r="AZ10" s="16" t="str">
        <f>IF(AM12&lt;&gt;0,IF(AX10&lt;AY10,"3",IF(AX10&gt;AY10,"0","1")),"")</f>
        <v/>
      </c>
      <c r="BA10" s="18" t="str">
        <f>IF(AM12&lt;&gt;0,AQ12," ")</f>
        <v xml:space="preserve"> </v>
      </c>
      <c r="BB10" s="12" t="str">
        <f>IF(AM13&lt;&gt;0,AM13," ")</f>
        <v xml:space="preserve"> </v>
      </c>
      <c r="BC10" s="18" t="str">
        <f>IF(AM13&lt;&gt;0,AO13," ")</f>
        <v xml:space="preserve"> </v>
      </c>
      <c r="BD10" s="19" t="str">
        <f>IF(AM13&lt;&gt;0,AN13," ")</f>
        <v xml:space="preserve"> </v>
      </c>
      <c r="BE10" s="16" t="str">
        <f>IF(AM13&lt;&gt;0,IF(BC10&lt;BD10,"3",IF(BC10&gt;BD10,"0","1")),"")</f>
        <v/>
      </c>
      <c r="BF10" s="18" t="str">
        <f>IF(AM13&lt;&gt;0,AQ13," ")</f>
        <v xml:space="preserve"> </v>
      </c>
      <c r="BG10" s="12" t="str">
        <f>IF(AM14&lt;&gt;0,AM14," ")</f>
        <v xml:space="preserve"> </v>
      </c>
      <c r="BH10" s="18" t="str">
        <f>IF(AM14&lt;&gt;0,AO14," ")</f>
        <v xml:space="preserve"> </v>
      </c>
      <c r="BI10" s="19" t="str">
        <f>IF(AM14&lt;&gt;0,AN14," ")</f>
        <v xml:space="preserve"> </v>
      </c>
      <c r="BJ10" s="16" t="str">
        <f>IF(AM14&lt;&gt;0,IF(BH10&lt;BI10,"3",IF(BH10&gt;BI10,"0","1")),"")</f>
        <v/>
      </c>
      <c r="BK10" s="18" t="str">
        <f>IF(AM14&lt;&gt;0,AQ14," ")</f>
        <v xml:space="preserve"> </v>
      </c>
    </row>
    <row r="11" spans="1:63" x14ac:dyDescent="0.25">
      <c r="A11" s="143" t="s">
        <v>303</v>
      </c>
      <c r="B11" s="240">
        <v>9</v>
      </c>
      <c r="C11" s="142" t="s">
        <v>305</v>
      </c>
      <c r="D11" s="93"/>
      <c r="E11" s="94"/>
      <c r="F11" s="94"/>
      <c r="G11" s="95" t="str">
        <f t="shared" si="0"/>
        <v/>
      </c>
      <c r="H11" s="95"/>
      <c r="I11" s="93"/>
      <c r="J11" s="94"/>
      <c r="K11" s="94"/>
      <c r="L11" s="95" t="str">
        <f t="shared" si="1"/>
        <v/>
      </c>
      <c r="M11" s="95"/>
      <c r="N11" s="220"/>
      <c r="O11" s="221"/>
      <c r="P11" s="221"/>
      <c r="Q11" s="222" t="str">
        <f t="shared" si="2"/>
        <v/>
      </c>
      <c r="R11" s="222"/>
      <c r="S11" s="93"/>
      <c r="T11" s="94"/>
      <c r="U11" s="94"/>
      <c r="V11" s="95" t="str">
        <f t="shared" si="3"/>
        <v/>
      </c>
      <c r="W11" s="95"/>
      <c r="X11" s="93"/>
      <c r="Y11" s="94"/>
      <c r="Z11" s="94"/>
      <c r="AA11" s="95" t="str">
        <f t="shared" si="4"/>
        <v/>
      </c>
      <c r="AB11" s="95"/>
      <c r="AC11" s="93"/>
      <c r="AD11" s="94"/>
      <c r="AE11" s="94"/>
      <c r="AF11" s="95" t="str">
        <f t="shared" si="5"/>
        <v/>
      </c>
      <c r="AG11" s="95"/>
      <c r="AH11" s="93"/>
      <c r="AI11" s="94"/>
      <c r="AJ11" s="94"/>
      <c r="AK11" s="95" t="str">
        <f t="shared" ref="AK11:AK14" si="6">IF(AH11&lt;&gt;0,IF(AI11&lt;AJ11,"3",IF(AI11&gt;AJ11,"0","1")),"")</f>
        <v/>
      </c>
      <c r="AL11" s="95"/>
      <c r="AM11" s="93"/>
      <c r="AN11" s="94"/>
      <c r="AO11" s="94"/>
      <c r="AP11" s="95" t="str">
        <f>IF(AM11&lt;&gt;0,IF(AN11&lt;AO11,"3",IF(AN11&gt;AO11,"0","1")),"")</f>
        <v/>
      </c>
      <c r="AQ11" s="95"/>
      <c r="AR11" s="243" t="s">
        <v>66</v>
      </c>
      <c r="AS11" s="243"/>
      <c r="AT11" s="243"/>
      <c r="AU11" s="243"/>
      <c r="AV11" s="243"/>
      <c r="AW11" s="12" t="str">
        <f>IF(AR12&lt;&gt;0,AR12," ")</f>
        <v xml:space="preserve"> </v>
      </c>
      <c r="AX11" s="18" t="str">
        <f>IF(AR12&lt;&gt;0,AT12," ")</f>
        <v xml:space="preserve"> </v>
      </c>
      <c r="AY11" s="19" t="str">
        <f>IF(AR12&lt;&gt;0,AS12," ")</f>
        <v xml:space="preserve"> </v>
      </c>
      <c r="AZ11" s="16" t="str">
        <f>IF(AR12&lt;&gt;0,IF(AX11&lt;AY11,"3",IF(AX11&gt;AY11,"0","1")),"")</f>
        <v/>
      </c>
      <c r="BA11" s="18" t="str">
        <f>IF(AR12&lt;&gt;0,AV12," ")</f>
        <v xml:space="preserve"> </v>
      </c>
      <c r="BB11" s="12" t="str">
        <f>IF(AR13&lt;&gt;0,AR13," ")</f>
        <v xml:space="preserve"> </v>
      </c>
      <c r="BC11" s="18" t="str">
        <f>IF(AR13&lt;&gt;0,AT13," ")</f>
        <v xml:space="preserve"> </v>
      </c>
      <c r="BD11" s="18" t="str">
        <f>IF(AR13&lt;&gt;0,AS13," ")</f>
        <v xml:space="preserve"> </v>
      </c>
      <c r="BE11" s="16" t="str">
        <f>IF(AR13&lt;&gt;0,IF(BC11&lt;BD11,"3",IF(BC11&gt;BD11,"0","1")),"")</f>
        <v/>
      </c>
      <c r="BF11" s="18" t="str">
        <f>IF(AR13&lt;&gt;0,AV13," ")</f>
        <v xml:space="preserve"> </v>
      </c>
      <c r="BG11" s="12" t="str">
        <f>IF(AR14&lt;&gt;0,AR14," ")</f>
        <v xml:space="preserve"> </v>
      </c>
      <c r="BH11" s="18" t="str">
        <f>IF(AR14&lt;&gt;0,AT14," ")</f>
        <v xml:space="preserve"> </v>
      </c>
      <c r="BI11" s="19" t="str">
        <f>IF(AR14&lt;&gt;0,AS14," ")</f>
        <v xml:space="preserve"> </v>
      </c>
      <c r="BJ11" s="16" t="str">
        <f>IF(AR14&lt;&gt;0,IF(BH11&lt;BI11,"3",IF(BH11&gt;BI11,"0","1")),"")</f>
        <v/>
      </c>
      <c r="BK11" s="18" t="str">
        <f>IF(AR14&lt;&gt;0,AV14," ")</f>
        <v xml:space="preserve"> </v>
      </c>
    </row>
    <row r="12" spans="1:63" x14ac:dyDescent="0.25">
      <c r="A12" s="143"/>
      <c r="B12" s="192">
        <v>10</v>
      </c>
      <c r="C12" s="110"/>
      <c r="D12" s="93"/>
      <c r="E12" s="94"/>
      <c r="F12" s="94"/>
      <c r="G12" s="95" t="str">
        <f t="shared" si="0"/>
        <v/>
      </c>
      <c r="H12" s="95"/>
      <c r="I12" s="93"/>
      <c r="J12" s="94"/>
      <c r="K12" s="94"/>
      <c r="L12" s="95" t="str">
        <f t="shared" si="1"/>
        <v/>
      </c>
      <c r="M12" s="95"/>
      <c r="N12" s="93"/>
      <c r="O12" s="94"/>
      <c r="P12" s="94"/>
      <c r="Q12" s="95" t="str">
        <f t="shared" si="2"/>
        <v/>
      </c>
      <c r="R12" s="95"/>
      <c r="S12" s="93"/>
      <c r="T12" s="94"/>
      <c r="U12" s="94"/>
      <c r="V12" s="95" t="str">
        <f t="shared" si="3"/>
        <v/>
      </c>
      <c r="W12" s="95"/>
      <c r="X12" s="93"/>
      <c r="Y12" s="94"/>
      <c r="Z12" s="94"/>
      <c r="AA12" s="95" t="str">
        <f t="shared" si="4"/>
        <v/>
      </c>
      <c r="AB12" s="95"/>
      <c r="AC12" s="93"/>
      <c r="AD12" s="94"/>
      <c r="AE12" s="94"/>
      <c r="AF12" s="95" t="str">
        <f t="shared" si="5"/>
        <v/>
      </c>
      <c r="AG12" s="95"/>
      <c r="AH12" s="93"/>
      <c r="AI12" s="94"/>
      <c r="AJ12" s="94"/>
      <c r="AK12" s="95" t="str">
        <f t="shared" si="6"/>
        <v/>
      </c>
      <c r="AL12" s="95"/>
      <c r="AM12" s="93"/>
      <c r="AN12" s="94"/>
      <c r="AO12" s="94"/>
      <c r="AP12" s="95" t="str">
        <f t="shared" ref="AP12:AP14" si="7">IF(AM12&lt;&gt;0,IF(AN12&lt;AO12,"3",IF(AN12&gt;AO12,"0","1")),"")</f>
        <v/>
      </c>
      <c r="AQ12" s="95"/>
      <c r="AR12" s="93"/>
      <c r="AS12" s="94"/>
      <c r="AT12" s="94"/>
      <c r="AU12" s="95" t="str">
        <f>IF(AR12&lt;&gt;0,IF(AS12&lt;AT12,"3",IF(AS12&gt;AT12,"0","1")),"")</f>
        <v/>
      </c>
      <c r="AV12" s="95"/>
      <c r="AW12" s="243" t="s">
        <v>66</v>
      </c>
      <c r="AX12" s="243"/>
      <c r="AY12" s="243"/>
      <c r="AZ12" s="243"/>
      <c r="BA12" s="243"/>
      <c r="BB12" s="12" t="str">
        <f>IF(AW13&lt;&gt;0,AW13," ")</f>
        <v xml:space="preserve"> </v>
      </c>
      <c r="BC12" s="18" t="str">
        <f>IF(AW13&lt;&gt;0,AY13," ")</f>
        <v xml:space="preserve"> </v>
      </c>
      <c r="BD12" s="19" t="str">
        <f>IF(AW13&lt;&gt;0,AX13," ")</f>
        <v xml:space="preserve"> </v>
      </c>
      <c r="BE12" s="16" t="str">
        <f>IF(AW13&lt;&gt;0,IF(BC12&lt;BD12,"3",IF(BC12&gt;BD12,"0","1")),"")</f>
        <v/>
      </c>
      <c r="BF12" s="18" t="str">
        <f>IF(AW13&lt;&gt;0,BA13," ")</f>
        <v xml:space="preserve"> </v>
      </c>
      <c r="BG12" s="12" t="str">
        <f>IF(AW14&lt;&gt;0,AW14," ")</f>
        <v xml:space="preserve"> </v>
      </c>
      <c r="BH12" s="18" t="str">
        <f>IF(AW14&lt;&gt;0,AY14," ")</f>
        <v xml:space="preserve"> </v>
      </c>
      <c r="BI12" s="18" t="str">
        <f>IF(AW14&lt;&gt;0,AX14," ")</f>
        <v xml:space="preserve"> </v>
      </c>
      <c r="BJ12" s="16" t="str">
        <f>IF(AW14&lt;&gt;0,IF(BH12&lt;BI12,"3",IF(BH12&gt;BI12,"0","1")),"")</f>
        <v/>
      </c>
      <c r="BK12" s="18" t="str">
        <f>IF(AW14&lt;&gt;0,BA14," ")</f>
        <v xml:space="preserve"> </v>
      </c>
    </row>
    <row r="13" spans="1:63" x14ac:dyDescent="0.25">
      <c r="A13" s="143"/>
      <c r="B13" s="192">
        <v>11</v>
      </c>
      <c r="C13" s="110"/>
      <c r="D13" s="93"/>
      <c r="E13" s="94"/>
      <c r="F13" s="94"/>
      <c r="G13" s="95" t="str">
        <f t="shared" si="0"/>
        <v/>
      </c>
      <c r="H13" s="95"/>
      <c r="I13" s="93"/>
      <c r="J13" s="94"/>
      <c r="K13" s="94"/>
      <c r="L13" s="95" t="str">
        <f t="shared" si="1"/>
        <v/>
      </c>
      <c r="M13" s="95"/>
      <c r="N13" s="93"/>
      <c r="O13" s="94"/>
      <c r="P13" s="94"/>
      <c r="Q13" s="95" t="str">
        <f t="shared" si="2"/>
        <v/>
      </c>
      <c r="R13" s="95"/>
      <c r="S13" s="93"/>
      <c r="T13" s="94"/>
      <c r="U13" s="94"/>
      <c r="V13" s="95" t="str">
        <f t="shared" si="3"/>
        <v/>
      </c>
      <c r="W13" s="95"/>
      <c r="X13" s="93"/>
      <c r="Y13" s="94"/>
      <c r="Z13" s="94"/>
      <c r="AA13" s="95" t="str">
        <f t="shared" si="4"/>
        <v/>
      </c>
      <c r="AB13" s="95"/>
      <c r="AC13" s="93"/>
      <c r="AD13" s="94"/>
      <c r="AE13" s="94"/>
      <c r="AF13" s="95" t="str">
        <f t="shared" si="5"/>
        <v/>
      </c>
      <c r="AG13" s="95"/>
      <c r="AH13" s="93"/>
      <c r="AI13" s="94"/>
      <c r="AJ13" s="94"/>
      <c r="AK13" s="95" t="str">
        <f t="shared" si="6"/>
        <v/>
      </c>
      <c r="AL13" s="95"/>
      <c r="AM13" s="93"/>
      <c r="AN13" s="94"/>
      <c r="AO13" s="94"/>
      <c r="AP13" s="95" t="str">
        <f t="shared" si="7"/>
        <v/>
      </c>
      <c r="AQ13" s="95"/>
      <c r="AR13" s="93"/>
      <c r="AS13" s="94"/>
      <c r="AT13" s="94"/>
      <c r="AU13" s="95" t="str">
        <f t="shared" ref="AU13:AU14" si="8">IF(AR13&lt;&gt;0,IF(AS13&lt;AT13,"3",IF(AS13&gt;AT13,"0","1")),"")</f>
        <v/>
      </c>
      <c r="AV13" s="95"/>
      <c r="AW13" s="93"/>
      <c r="AX13" s="94"/>
      <c r="AY13" s="94"/>
      <c r="AZ13" s="95" t="str">
        <f>IF(AW13&lt;&gt;0,IF(AX13&lt;AY13,"3",IF(AX13&gt;AY13,"0","1")),"")</f>
        <v/>
      </c>
      <c r="BA13" s="95"/>
      <c r="BB13" s="243" t="s">
        <v>66</v>
      </c>
      <c r="BC13" s="243"/>
      <c r="BD13" s="243"/>
      <c r="BE13" s="243"/>
      <c r="BF13" s="243"/>
      <c r="BG13" s="12" t="str">
        <f>IF(BB14&lt;&gt;0,BB14," ")</f>
        <v xml:space="preserve"> </v>
      </c>
      <c r="BH13" s="18" t="str">
        <f>IF(BB14&lt;&gt;0,BD14," ")</f>
        <v xml:space="preserve"> </v>
      </c>
      <c r="BI13" s="19" t="str">
        <f>IF(BB14&lt;&gt;0,BC14," ")</f>
        <v xml:space="preserve"> </v>
      </c>
      <c r="BJ13" s="16" t="str">
        <f>IF(BB14&lt;&gt;0,IF(BH13&lt;BI13,"3",IF(BH13&gt;BI13,"0","1")),"")</f>
        <v/>
      </c>
      <c r="BK13" s="18" t="str">
        <f>IF(BB14&lt;&gt;0,BF14," ")</f>
        <v xml:space="preserve"> </v>
      </c>
    </row>
    <row r="14" spans="1:63" x14ac:dyDescent="0.25">
      <c r="A14" s="143"/>
      <c r="B14" s="192">
        <v>12</v>
      </c>
      <c r="C14" s="110"/>
      <c r="D14" s="93"/>
      <c r="E14" s="94"/>
      <c r="F14" s="94"/>
      <c r="G14" s="95" t="str">
        <f t="shared" si="0"/>
        <v/>
      </c>
      <c r="H14" s="95"/>
      <c r="I14" s="93"/>
      <c r="J14" s="94"/>
      <c r="K14" s="94"/>
      <c r="L14" s="95" t="str">
        <f t="shared" si="1"/>
        <v/>
      </c>
      <c r="M14" s="95"/>
      <c r="N14" s="93"/>
      <c r="O14" s="94"/>
      <c r="P14" s="94"/>
      <c r="Q14" s="95" t="str">
        <f t="shared" si="2"/>
        <v/>
      </c>
      <c r="R14" s="95"/>
      <c r="S14" s="93"/>
      <c r="T14" s="94"/>
      <c r="U14" s="94"/>
      <c r="V14" s="95" t="str">
        <f t="shared" si="3"/>
        <v/>
      </c>
      <c r="W14" s="95"/>
      <c r="X14" s="93"/>
      <c r="Y14" s="94"/>
      <c r="Z14" s="94"/>
      <c r="AA14" s="95" t="str">
        <f t="shared" si="4"/>
        <v/>
      </c>
      <c r="AB14" s="95"/>
      <c r="AC14" s="93"/>
      <c r="AD14" s="94"/>
      <c r="AE14" s="94"/>
      <c r="AF14" s="95" t="str">
        <f t="shared" si="5"/>
        <v/>
      </c>
      <c r="AG14" s="95"/>
      <c r="AH14" s="93"/>
      <c r="AI14" s="94"/>
      <c r="AJ14" s="94"/>
      <c r="AK14" s="95" t="str">
        <f t="shared" si="6"/>
        <v/>
      </c>
      <c r="AL14" s="95"/>
      <c r="AM14" s="93"/>
      <c r="AN14" s="94"/>
      <c r="AO14" s="94"/>
      <c r="AP14" s="95" t="str">
        <f t="shared" si="7"/>
        <v/>
      </c>
      <c r="AQ14" s="95"/>
      <c r="AR14" s="93"/>
      <c r="AS14" s="94"/>
      <c r="AT14" s="94"/>
      <c r="AU14" s="95" t="str">
        <f t="shared" si="8"/>
        <v/>
      </c>
      <c r="AV14" s="95"/>
      <c r="AW14" s="93"/>
      <c r="AX14" s="94"/>
      <c r="AY14" s="94"/>
      <c r="AZ14" s="95" t="str">
        <f t="shared" ref="AZ14" si="9">IF(AW14&lt;&gt;0,IF(AX14&lt;AY14,"3",IF(AX14&gt;AY14,"0","1")),"")</f>
        <v/>
      </c>
      <c r="BA14" s="95"/>
      <c r="BB14" s="93"/>
      <c r="BC14" s="94"/>
      <c r="BD14" s="94"/>
      <c r="BE14" s="95" t="str">
        <f>IF(BB14&lt;&gt;0,IF(BC14&lt;BD14,"3",IF(BC14&gt;BD14,"0","1")),"")</f>
        <v/>
      </c>
      <c r="BF14" s="95"/>
      <c r="BG14" s="243" t="s">
        <v>66</v>
      </c>
      <c r="BH14" s="243"/>
      <c r="BI14" s="243"/>
      <c r="BJ14" s="243"/>
      <c r="BK14" s="243"/>
    </row>
    <row r="16" spans="1:63" ht="15.75" thickBot="1" x14ac:dyDescent="0.3"/>
    <row r="17" spans="9:18" ht="26.25" customHeight="1" x14ac:dyDescent="0.25">
      <c r="I17" s="246" t="s">
        <v>233</v>
      </c>
      <c r="J17" s="247"/>
      <c r="K17" s="247"/>
      <c r="L17" s="247"/>
      <c r="M17" s="247"/>
      <c r="N17" s="247"/>
      <c r="O17" s="247"/>
      <c r="P17" s="247"/>
      <c r="Q17" s="247"/>
      <c r="R17" s="248"/>
    </row>
    <row r="18" spans="9:18" x14ac:dyDescent="0.25">
      <c r="I18" s="249"/>
      <c r="J18" s="250"/>
      <c r="K18" s="250"/>
      <c r="L18" s="250"/>
      <c r="M18" s="250"/>
      <c r="N18" s="250"/>
      <c r="O18" s="250"/>
      <c r="P18" s="250"/>
      <c r="Q18" s="250"/>
      <c r="R18" s="251"/>
    </row>
    <row r="19" spans="9:18" ht="15.75" thickBot="1" x14ac:dyDescent="0.3">
      <c r="I19" s="252"/>
      <c r="J19" s="253"/>
      <c r="K19" s="253"/>
      <c r="L19" s="253"/>
      <c r="M19" s="253"/>
      <c r="N19" s="253"/>
      <c r="O19" s="253"/>
      <c r="P19" s="253"/>
      <c r="Q19" s="253"/>
      <c r="R19" s="254"/>
    </row>
  </sheetData>
  <sheetProtection algorithmName="SHA-512" hashValue="CYQ+6RkXwxWbN0x3NTuag1T+HrwOat6x4ACMXeDRq+pGHow4njmye23yVCzaGTNC4ExsjZzs/IPRz6deNQjIhQ==" saltValue="HP2fq+p4Bv0LdjFFi1llRg==" spinCount="100000" sheet="1" formatCells="0"/>
  <protectedRanges>
    <protectedRange sqref="L5:M14 Q6:R14 V7:W14 AA8:AB14 AF9:AG14 AK10:AL14 AP11:AQ14 AU12:AV14 AZ13:BA14 AU3:AU10 AZ3:AZ11 BE3:BE12 BJ3:BJ13 AF3:AF7 AK3:AK8 AP3:AP9 BE14:BF14 G4:H14 L3 Q3:Q4 V3:V5 AA3:AA6" name="Rango1"/>
    <protectedRange sqref="D4:F14" name="Rango1_7"/>
    <protectedRange sqref="I5:K14" name="Rango1_8"/>
    <protectedRange sqref="N7:P14" name="Rango1_9"/>
    <protectedRange sqref="N6:P6" name="Rango1_2_1"/>
    <protectedRange sqref="S7:U14" name="Rango1_10"/>
    <protectedRange sqref="X8:Z14" name="Rango1_11"/>
    <protectedRange sqref="AC9:AE14" name="Rango1_12"/>
    <protectedRange sqref="AH10:AJ14" name="Rango1_13"/>
    <protectedRange sqref="AM11:AO14" name="Rango1_14"/>
    <protectedRange sqref="AR12:AT14" name="Rango1_15"/>
    <protectedRange sqref="AW13:AY14" name="Rango1_16"/>
    <protectedRange sqref="BB14:BD14" name="Rango1_17"/>
    <protectedRange sqref="C3:C14" name="Rango1_22"/>
  </protectedRanges>
  <mergeCells count="40">
    <mergeCell ref="A1:A2"/>
    <mergeCell ref="S1:W1"/>
    <mergeCell ref="E2:F2"/>
    <mergeCell ref="J2:K2"/>
    <mergeCell ref="O2:P2"/>
    <mergeCell ref="T2:U2"/>
    <mergeCell ref="B1:B2"/>
    <mergeCell ref="C1:C2"/>
    <mergeCell ref="D1:H1"/>
    <mergeCell ref="I1:M1"/>
    <mergeCell ref="N1:R1"/>
    <mergeCell ref="AW1:BA1"/>
    <mergeCell ref="BB1:BF1"/>
    <mergeCell ref="BG1:BK1"/>
    <mergeCell ref="Y2:Z2"/>
    <mergeCell ref="AD2:AE2"/>
    <mergeCell ref="AI2:AJ2"/>
    <mergeCell ref="AN2:AO2"/>
    <mergeCell ref="AS2:AT2"/>
    <mergeCell ref="AX2:AY2"/>
    <mergeCell ref="X1:AB1"/>
    <mergeCell ref="AC1:AG1"/>
    <mergeCell ref="AH1:AL1"/>
    <mergeCell ref="AM1:AQ1"/>
    <mergeCell ref="AR1:AV1"/>
    <mergeCell ref="AC8:AG8"/>
    <mergeCell ref="BC2:BD2"/>
    <mergeCell ref="BH2:BI2"/>
    <mergeCell ref="D3:H3"/>
    <mergeCell ref="I4:M4"/>
    <mergeCell ref="N5:R5"/>
    <mergeCell ref="S6:W6"/>
    <mergeCell ref="X7:AB7"/>
    <mergeCell ref="I17:R19"/>
    <mergeCell ref="BG14:BK14"/>
    <mergeCell ref="AH9:AL9"/>
    <mergeCell ref="AM10:AQ10"/>
    <mergeCell ref="AR11:AV11"/>
    <mergeCell ref="AW12:BA12"/>
    <mergeCell ref="BB13:BF13"/>
  </mergeCells>
  <conditionalFormatting sqref="BG13:BI13 BB12:BD12 AW11:AY11 AR10:AT10 AM9:AO9 AH8:AJ8 AC7:AE7 X6:Z6 S5:U5 N4:P4 D4:H4 D5:G14 H5:M5 H6:L14 M6:R6 M7:Q14 R7:W7 R8:V14 W8:AB8 W9:AA14 AB9:AG9 AB10:AF14 AG10:AL10 AG11:AK14 AL11:AQ11 AL12:AP14 AQ12:AV12 AQ13:AU14 AV13:BA13 AV14:BF14 I3:P3 R3:U4 W3:Z5 AB3:AE6 AG3:AJ7 AL3:AO8 AQ3:AT9 AV3:AY10 BA3:BD11 BF3:BI12 BK3:BK13">
    <cfRule type="notContainsBlanks" dxfId="85" priority="19">
      <formula>LEN(TRIM(D3))&gt;0</formula>
    </cfRule>
  </conditionalFormatting>
  <conditionalFormatting sqref="I3:P3 R3:T3">
    <cfRule type="notContainsBlanks" dxfId="84" priority="20">
      <formula>LEN(TRIM(I3))&gt;0</formula>
    </cfRule>
  </conditionalFormatting>
  <conditionalFormatting sqref="U3">
    <cfRule type="notContainsBlanks" dxfId="83" priority="18">
      <formula>LEN(TRIM(U3))&gt;0</formula>
    </cfRule>
  </conditionalFormatting>
  <conditionalFormatting sqref="Z3">
    <cfRule type="notContainsBlanks" dxfId="82" priority="17">
      <formula>LEN(TRIM(Z3))&gt;0</formula>
    </cfRule>
  </conditionalFormatting>
  <conditionalFormatting sqref="AE3">
    <cfRule type="notContainsBlanks" dxfId="81" priority="16">
      <formula>LEN(TRIM(AE3))&gt;0</formula>
    </cfRule>
  </conditionalFormatting>
  <conditionalFormatting sqref="Q3:Q4">
    <cfRule type="notContainsBlanks" dxfId="80" priority="15">
      <formula>LEN(TRIM(Q3))&gt;0</formula>
    </cfRule>
  </conditionalFormatting>
  <conditionalFormatting sqref="V3:V5">
    <cfRule type="notContainsBlanks" dxfId="79" priority="14">
      <formula>LEN(TRIM(V3))&gt;0</formula>
    </cfRule>
  </conditionalFormatting>
  <conditionalFormatting sqref="AA3:AA6">
    <cfRule type="notContainsBlanks" dxfId="78" priority="13">
      <formula>LEN(TRIM(AA3))&gt;0</formula>
    </cfRule>
  </conditionalFormatting>
  <conditionalFormatting sqref="AF3:AF7">
    <cfRule type="notContainsBlanks" dxfId="77" priority="12">
      <formula>LEN(TRIM(AF3))&gt;0</formula>
    </cfRule>
  </conditionalFormatting>
  <conditionalFormatting sqref="AK3:AK8">
    <cfRule type="notContainsBlanks" dxfId="76" priority="11">
      <formula>LEN(TRIM(AK3))&gt;0</formula>
    </cfRule>
  </conditionalFormatting>
  <conditionalFormatting sqref="AP3:AP9">
    <cfRule type="notContainsBlanks" dxfId="75" priority="10">
      <formula>LEN(TRIM(AP3))&gt;0</formula>
    </cfRule>
  </conditionalFormatting>
  <conditionalFormatting sqref="AU3:AU10">
    <cfRule type="notContainsBlanks" dxfId="74" priority="9">
      <formula>LEN(TRIM(AU3))&gt;0</formula>
    </cfRule>
  </conditionalFormatting>
  <conditionalFormatting sqref="AZ3:AZ11">
    <cfRule type="notContainsBlanks" dxfId="73" priority="8">
      <formula>LEN(TRIM(AZ3))&gt;0</formula>
    </cfRule>
  </conditionalFormatting>
  <conditionalFormatting sqref="BE3:BE12">
    <cfRule type="notContainsBlanks" dxfId="72" priority="7">
      <formula>LEN(TRIM(BE3))&gt;0</formula>
    </cfRule>
  </conditionalFormatting>
  <conditionalFormatting sqref="BJ3:BJ13">
    <cfRule type="notContainsBlanks" dxfId="71" priority="6">
      <formula>LEN(TRIM(BJ3))&gt;0</formula>
    </cfRule>
  </conditionalFormatting>
  <conditionalFormatting sqref="D3:BK14">
    <cfRule type="containsText" dxfId="70" priority="1" operator="containsText" text="W">
      <formula>NOT(ISERROR(SEARCH("W",D3)))</formula>
    </cfRule>
  </conditionalFormatting>
  <pageMargins left="0.45" right="0.2" top="0.75" bottom="0.75" header="0.3" footer="0.3"/>
  <pageSetup orientation="landscape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EB364-EF06-4980-9DFB-B3A45B36B0FE}">
  <sheetPr codeName="Hoja27"/>
  <dimension ref="G3:Q19"/>
  <sheetViews>
    <sheetView showGridLines="0" workbookViewId="0"/>
  </sheetViews>
  <sheetFormatPr baseColWidth="10" defaultRowHeight="15" x14ac:dyDescent="0.25"/>
  <cols>
    <col min="1" max="6" width="11.42578125" style="106"/>
    <col min="7" max="7" width="5.28515625" style="106" bestFit="1" customWidth="1"/>
    <col min="8" max="8" width="48.42578125" style="106" bestFit="1" customWidth="1"/>
    <col min="9" max="9" width="6.140625" style="106" customWidth="1"/>
    <col min="10" max="10" width="7" style="106" customWidth="1"/>
    <col min="11" max="11" width="6.5703125" style="106" customWidth="1"/>
    <col min="12" max="12" width="6.7109375" style="106" customWidth="1"/>
    <col min="13" max="13" width="6.85546875" style="106" customWidth="1"/>
    <col min="14" max="14" width="7" style="106" customWidth="1"/>
    <col min="15" max="15" width="7.28515625" style="107" customWidth="1"/>
    <col min="16" max="16" width="11.140625" style="108" bestFit="1" customWidth="1"/>
    <col min="17" max="17" width="9" style="106" customWidth="1"/>
    <col min="18" max="18" width="11.42578125" style="106"/>
    <col min="19" max="19" width="4.140625" style="106" bestFit="1" customWidth="1"/>
    <col min="20" max="20" width="45.7109375" style="106" customWidth="1"/>
    <col min="21" max="21" width="4.28515625" style="106" bestFit="1" customWidth="1"/>
    <col min="22" max="22" width="5.140625" style="106" bestFit="1" customWidth="1"/>
    <col min="23" max="23" width="4.7109375" style="106" bestFit="1" customWidth="1"/>
    <col min="24" max="24" width="4.85546875" style="106" bestFit="1" customWidth="1"/>
    <col min="25" max="25" width="5" style="106" bestFit="1" customWidth="1"/>
    <col min="26" max="26" width="5.140625" style="106" bestFit="1" customWidth="1"/>
    <col min="27" max="27" width="5.42578125" style="106" bestFit="1" customWidth="1"/>
    <col min="28" max="28" width="7.140625" style="106" bestFit="1" customWidth="1"/>
    <col min="29" max="16384" width="11.42578125" style="106"/>
  </cols>
  <sheetData>
    <row r="3" spans="7:17" ht="15.75" thickBot="1" x14ac:dyDescent="0.3"/>
    <row r="4" spans="7:17" ht="18.75" customHeight="1" x14ac:dyDescent="0.25">
      <c r="G4" s="96"/>
      <c r="H4" s="279" t="s">
        <v>41</v>
      </c>
      <c r="I4" s="280"/>
      <c r="J4" s="280"/>
      <c r="K4" s="280"/>
      <c r="L4" s="280"/>
      <c r="M4" s="280"/>
      <c r="N4" s="280"/>
      <c r="O4" s="280"/>
      <c r="P4" s="280"/>
      <c r="Q4" s="281"/>
    </row>
    <row r="5" spans="7:17" ht="15.75" thickBot="1" x14ac:dyDescent="0.3">
      <c r="G5" s="96"/>
      <c r="H5" s="282"/>
      <c r="I5" s="283"/>
      <c r="J5" s="283"/>
      <c r="K5" s="283"/>
      <c r="L5" s="283"/>
      <c r="M5" s="283"/>
      <c r="N5" s="283"/>
      <c r="O5" s="283"/>
      <c r="P5" s="283"/>
      <c r="Q5" s="284"/>
    </row>
    <row r="6" spans="7:17" ht="23.25" thickBot="1" x14ac:dyDescent="0.35">
      <c r="G6" s="96"/>
      <c r="H6" s="199" t="s">
        <v>16</v>
      </c>
      <c r="I6" s="200" t="s">
        <v>19</v>
      </c>
      <c r="J6" s="200" t="s">
        <v>20</v>
      </c>
      <c r="K6" s="200" t="s">
        <v>21</v>
      </c>
      <c r="L6" s="200" t="s">
        <v>22</v>
      </c>
      <c r="M6" s="200" t="s">
        <v>23</v>
      </c>
      <c r="N6" s="200" t="s">
        <v>24</v>
      </c>
      <c r="O6" s="200" t="s">
        <v>25</v>
      </c>
      <c r="P6" s="201" t="s">
        <v>38</v>
      </c>
      <c r="Q6" s="200" t="s">
        <v>26</v>
      </c>
    </row>
    <row r="7" spans="7:17" ht="23.25" thickBot="1" x14ac:dyDescent="0.35">
      <c r="G7" s="199">
        <v>1</v>
      </c>
      <c r="H7" s="100" t="str">
        <f>IF(D!C3&lt;&gt;0,D!C3," ")</f>
        <v>ABC JURIDICAS S.A.S ( A )</v>
      </c>
      <c r="I7" s="101">
        <f>COUNTA(D!D4:D14)</f>
        <v>2</v>
      </c>
      <c r="J7" s="101">
        <f>COUNTIF(D!$G$3:$G$14,3)</f>
        <v>1</v>
      </c>
      <c r="K7" s="101">
        <f>COUNTIF(D!$G$3:$G$14,1)</f>
        <v>1</v>
      </c>
      <c r="L7" s="101">
        <f>COUNTIF(D!$G$3:$G$14,0)</f>
        <v>0</v>
      </c>
      <c r="M7" s="102">
        <f>SUM(D!$F$3:$F$14)</f>
        <v>7</v>
      </c>
      <c r="N7" s="102">
        <f>SUM(D!$E$3:$E$14)</f>
        <v>5</v>
      </c>
      <c r="O7" s="103">
        <f t="shared" ref="O7:O18" si="0">M7-N7</f>
        <v>2</v>
      </c>
      <c r="P7" s="104">
        <f t="shared" ref="P7:P18" si="1">IF(N7&lt;&gt;0,N7/I7,"0")</f>
        <v>2.5</v>
      </c>
      <c r="Q7" s="103">
        <f t="shared" ref="Q7:Q18" si="2">(J7*3)+K7</f>
        <v>4</v>
      </c>
    </row>
    <row r="8" spans="7:17" ht="23.25" thickBot="1" x14ac:dyDescent="0.35">
      <c r="G8" s="202">
        <v>2</v>
      </c>
      <c r="H8" s="100" t="str">
        <f>IF(D!C6&lt;&gt;0,D!C6," ")</f>
        <v>EL ALTO</v>
      </c>
      <c r="I8" s="101">
        <f>COUNTA(D!D6,D!I6,D!N6,D!S7:S14)</f>
        <v>1</v>
      </c>
      <c r="J8" s="101">
        <f>COUNTIF(D!$V$3:$V$14,3)</f>
        <v>1</v>
      </c>
      <c r="K8" s="101">
        <f>COUNTIF(D!$V$3:$V$14,1)</f>
        <v>0</v>
      </c>
      <c r="L8" s="101">
        <f>COUNTIF(D!$V$3:$V$14,0)</f>
        <v>0</v>
      </c>
      <c r="M8" s="102">
        <f>SUM(D!$U$3:$U$14)</f>
        <v>4</v>
      </c>
      <c r="N8" s="102">
        <f>SUM(D!$T$3:$T$14)</f>
        <v>1</v>
      </c>
      <c r="O8" s="103">
        <f t="shared" si="0"/>
        <v>3</v>
      </c>
      <c r="P8" s="104">
        <f t="shared" si="1"/>
        <v>1</v>
      </c>
      <c r="Q8" s="103">
        <f t="shared" si="2"/>
        <v>3</v>
      </c>
    </row>
    <row r="9" spans="7:17" ht="23.25" thickBot="1" x14ac:dyDescent="0.35">
      <c r="G9" s="199">
        <v>3</v>
      </c>
      <c r="H9" s="100" t="str">
        <f>IF(D!C7&lt;&gt;0,D!C7," ")</f>
        <v>EL PARCHE</v>
      </c>
      <c r="I9" s="102">
        <f>COUNTA(D!D7,D!I7,D!N7,D!S7,D!X8:X14)</f>
        <v>1</v>
      </c>
      <c r="J9" s="101">
        <f>COUNTIF(D!$AA$3:$AA$14,3)</f>
        <v>1</v>
      </c>
      <c r="K9" s="101">
        <f>COUNTIF(D!$AA$3:$AA$14,1)</f>
        <v>0</v>
      </c>
      <c r="L9" s="101">
        <f>COUNTIF(D!$AA$3:$AA$14,0)</f>
        <v>0</v>
      </c>
      <c r="M9" s="102">
        <f>SUM(D!$Z$3:$Z$14)</f>
        <v>3</v>
      </c>
      <c r="N9" s="102">
        <f>SUM(D!$Y$3:$Y$14)</f>
        <v>1</v>
      </c>
      <c r="O9" s="103">
        <f t="shared" si="0"/>
        <v>2</v>
      </c>
      <c r="P9" s="104">
        <f t="shared" si="1"/>
        <v>1</v>
      </c>
      <c r="Q9" s="103">
        <f t="shared" si="2"/>
        <v>3</v>
      </c>
    </row>
    <row r="10" spans="7:17" ht="23.25" thickBot="1" x14ac:dyDescent="0.35">
      <c r="G10" s="202">
        <v>4</v>
      </c>
      <c r="H10" s="100" t="str">
        <f>IF(D!C8&lt;&gt;0,D!C8," ")</f>
        <v>SALAMINA F.C</v>
      </c>
      <c r="I10" s="102">
        <f>COUNTA(D!D8,D!I8,D!N8,D!S8,D!X8,D!AC9:AC14)</f>
        <v>1</v>
      </c>
      <c r="J10" s="101">
        <f>COUNTIF(D!$AF$3:$AF$14,3)</f>
        <v>0</v>
      </c>
      <c r="K10" s="101">
        <f>COUNTIF(D!$AF$3:$AF$14,1)</f>
        <v>1</v>
      </c>
      <c r="L10" s="101">
        <f>COUNTIF(D!$AF$3:$AF$14,0)</f>
        <v>0</v>
      </c>
      <c r="M10" s="102">
        <f>SUM(D!$AE$3:$AE$14)</f>
        <v>5</v>
      </c>
      <c r="N10" s="102">
        <f>SUM(D!$AD$3:$AD$14)</f>
        <v>5</v>
      </c>
      <c r="O10" s="103">
        <f t="shared" si="0"/>
        <v>0</v>
      </c>
      <c r="P10" s="104">
        <f t="shared" si="1"/>
        <v>5</v>
      </c>
      <c r="Q10" s="103">
        <f t="shared" si="2"/>
        <v>1</v>
      </c>
    </row>
    <row r="11" spans="7:17" ht="23.25" thickBot="1" x14ac:dyDescent="0.35">
      <c r="G11" s="199">
        <v>5</v>
      </c>
      <c r="H11" s="100" t="str">
        <f>IF(D!C9&lt;&gt;0,D!C9," ")</f>
        <v>INTER CLUB</v>
      </c>
      <c r="I11" s="101">
        <f>COUNTA(D!D9,D!I9,D!N9,D!S9,D!X9,D!AC9,D!AH10:AH14)</f>
        <v>0</v>
      </c>
      <c r="J11" s="101">
        <f>COUNTIF(D!$AK$3:$AK$14,3)</f>
        <v>0</v>
      </c>
      <c r="K11" s="101">
        <f>COUNTIF(D!$AK$3:$AK$14,1)</f>
        <v>0</v>
      </c>
      <c r="L11" s="101">
        <f>COUNTIF(D!$AK$3:$AK$14,0)</f>
        <v>0</v>
      </c>
      <c r="M11" s="102">
        <f>SUM(D!$AJ$3:$AJ$14)</f>
        <v>0</v>
      </c>
      <c r="N11" s="102">
        <f>SUM(D!$AI$3:$AI$14)</f>
        <v>0</v>
      </c>
      <c r="O11" s="103">
        <f t="shared" si="0"/>
        <v>0</v>
      </c>
      <c r="P11" s="104" t="str">
        <f t="shared" si="1"/>
        <v>0</v>
      </c>
      <c r="Q11" s="103">
        <f t="shared" si="2"/>
        <v>0</v>
      </c>
    </row>
    <row r="12" spans="7:17" ht="23.25" thickBot="1" x14ac:dyDescent="0.35">
      <c r="G12" s="202">
        <v>6</v>
      </c>
      <c r="H12" s="100" t="str">
        <f>IF(D!C10&lt;&gt;0,D!C10," ")</f>
        <v>ANCESTRAL S.J</v>
      </c>
      <c r="I12" s="102">
        <f>COUNTA(D!D10,D!I10,D!N10,D!S10,D!X10,D!AC10,D!AH10,D!AM11:AM14)</f>
        <v>0</v>
      </c>
      <c r="J12" s="101">
        <f>COUNTIF(D!$AP$3:$AP$14,3)</f>
        <v>0</v>
      </c>
      <c r="K12" s="101">
        <f>COUNTIF(D!$AP$3:$AP$14,1)</f>
        <v>0</v>
      </c>
      <c r="L12" s="101">
        <f>COUNTIF(D!$AP$3:$AP$14,0)</f>
        <v>0</v>
      </c>
      <c r="M12" s="102">
        <f>SUM(D!$AO$3:$AO$14)</f>
        <v>0</v>
      </c>
      <c r="N12" s="102">
        <f>SUM(D!$AN$3:$AN$14)</f>
        <v>0</v>
      </c>
      <c r="O12" s="103">
        <f t="shared" si="0"/>
        <v>0</v>
      </c>
      <c r="P12" s="104" t="str">
        <f t="shared" si="1"/>
        <v>0</v>
      </c>
      <c r="Q12" s="103">
        <f t="shared" si="2"/>
        <v>0</v>
      </c>
    </row>
    <row r="13" spans="7:17" ht="23.25" thickBot="1" x14ac:dyDescent="0.35">
      <c r="G13" s="199">
        <v>7</v>
      </c>
      <c r="H13" s="100" t="str">
        <f>IF(D!C11&lt;&gt;0,D!C11," ")</f>
        <v>RESTAURANTE LUNA CHINA - 200 COPAS</v>
      </c>
      <c r="I13" s="102">
        <f>COUNTA(D!D11,D!I11,D!N11,D!S11,D!X11,D!AC11,D!AH11,D!AM11,D!AR12:AR14)</f>
        <v>0</v>
      </c>
      <c r="J13" s="101">
        <f>COUNTIF(D!$AU$3:$AU$14,3)</f>
        <v>0</v>
      </c>
      <c r="K13" s="101">
        <f>COUNTIF(D!$AU$3:$AU$14,1)</f>
        <v>0</v>
      </c>
      <c r="L13" s="101">
        <f>COUNTIF(D!$AU$3:$AU$14,0)</f>
        <v>0</v>
      </c>
      <c r="M13" s="102">
        <f>SUM(D!$AT$3:$AT$14)</f>
        <v>0</v>
      </c>
      <c r="N13" s="102">
        <f>SUM(D!$AS$3:$AS$14)</f>
        <v>0</v>
      </c>
      <c r="O13" s="103">
        <f t="shared" si="0"/>
        <v>0</v>
      </c>
      <c r="P13" s="104" t="str">
        <f t="shared" si="1"/>
        <v>0</v>
      </c>
      <c r="Q13" s="103">
        <f t="shared" si="2"/>
        <v>0</v>
      </c>
    </row>
    <row r="14" spans="7:17" ht="23.25" thickBot="1" x14ac:dyDescent="0.35">
      <c r="G14" s="202">
        <v>8</v>
      </c>
      <c r="H14" s="100" t="str">
        <f>IF(D!C12&lt;&gt;0,D!C12," ")</f>
        <v xml:space="preserve"> </v>
      </c>
      <c r="I14" s="101">
        <f>COUNTA(D!D12,D!I12,D!N12,D!S12,D!X12,D!AC12,D!AH12,D!AM12,D!AR12,D!AW13:AW14)</f>
        <v>0</v>
      </c>
      <c r="J14" s="101">
        <f>COUNTIF(D!$AZ$3:$AZ$14,3)</f>
        <v>0</v>
      </c>
      <c r="K14" s="101">
        <f>COUNTIF(D!$AZ$3:$AZ$14,1)</f>
        <v>0</v>
      </c>
      <c r="L14" s="101">
        <f>COUNTIF(D!$AZ$3:$AZ$14,0)</f>
        <v>0</v>
      </c>
      <c r="M14" s="102">
        <f>SUM(D!$AY$3:$AY$14)</f>
        <v>0</v>
      </c>
      <c r="N14" s="102">
        <f>SUM(D!$AX$3:$AX$14)</f>
        <v>0</v>
      </c>
      <c r="O14" s="103">
        <f t="shared" si="0"/>
        <v>0</v>
      </c>
      <c r="P14" s="104" t="str">
        <f t="shared" si="1"/>
        <v>0</v>
      </c>
      <c r="Q14" s="103">
        <f t="shared" si="2"/>
        <v>0</v>
      </c>
    </row>
    <row r="15" spans="7:17" ht="23.25" thickBot="1" x14ac:dyDescent="0.35">
      <c r="G15" s="199">
        <v>9</v>
      </c>
      <c r="H15" s="100" t="str">
        <f>IF(D!C13&lt;&gt;0,D!C13," ")</f>
        <v xml:space="preserve"> </v>
      </c>
      <c r="I15" s="102">
        <f>COUNTA(D!D13,D!I13,D!N13,D!S13,D!X13,D!AC13,D!AH13,D!AM13,D!AR13,D!AW13,D!BB14)</f>
        <v>0</v>
      </c>
      <c r="J15" s="101">
        <f>COUNTIF(D!$BE$3:$BE$14,3)</f>
        <v>0</v>
      </c>
      <c r="K15" s="101">
        <f>COUNTIF(D!$BE$3:$BE$14,1)</f>
        <v>0</v>
      </c>
      <c r="L15" s="101">
        <f>COUNTIF(D!$BE$3:$BE$14,0)</f>
        <v>0</v>
      </c>
      <c r="M15" s="102">
        <f>SUM(D!$BD$3:$BD$14)</f>
        <v>0</v>
      </c>
      <c r="N15" s="102">
        <f>SUM(D!$BC$3:$BC$14)</f>
        <v>0</v>
      </c>
      <c r="O15" s="103">
        <f t="shared" si="0"/>
        <v>0</v>
      </c>
      <c r="P15" s="104" t="str">
        <f t="shared" si="1"/>
        <v>0</v>
      </c>
      <c r="Q15" s="103">
        <f t="shared" si="2"/>
        <v>0</v>
      </c>
    </row>
    <row r="16" spans="7:17" ht="23.25" thickBot="1" x14ac:dyDescent="0.35">
      <c r="G16" s="202">
        <v>10</v>
      </c>
      <c r="H16" s="100" t="str">
        <f>IF(D!C14&lt;&gt;0,D!C14," ")</f>
        <v xml:space="preserve"> </v>
      </c>
      <c r="I16" s="102">
        <f>COUNTA(D!D14,D!I14,D!N14,D!S14,D!X14,D!AC14,D!AH14,D!AM14,D!AR14,D!AW14,D!BB14)</f>
        <v>0</v>
      </c>
      <c r="J16" s="101">
        <f>COUNTIF(D!$BJ$3:$BJ$14,3)</f>
        <v>0</v>
      </c>
      <c r="K16" s="101">
        <f>COUNTIF(D!$BJ$3:$BJ$14,1)</f>
        <v>0</v>
      </c>
      <c r="L16" s="101">
        <f>COUNTIF(D!$BJ$3:$BJ$14,0)</f>
        <v>0</v>
      </c>
      <c r="M16" s="102">
        <f>SUM(D!$BI$3:$BI$14)</f>
        <v>0</v>
      </c>
      <c r="N16" s="102">
        <f>SUM(D!$BH$3:$BH$14)</f>
        <v>0</v>
      </c>
      <c r="O16" s="103">
        <f t="shared" si="0"/>
        <v>0</v>
      </c>
      <c r="P16" s="104" t="str">
        <f t="shared" si="1"/>
        <v>0</v>
      </c>
      <c r="Q16" s="103">
        <f t="shared" si="2"/>
        <v>0</v>
      </c>
    </row>
    <row r="17" spans="7:17" ht="23.25" thickBot="1" x14ac:dyDescent="0.35">
      <c r="G17" s="202">
        <v>11</v>
      </c>
      <c r="H17" s="100" t="str">
        <f>IF(D!C5&lt;&gt;0,D!C5," ")</f>
        <v>OPTICA SHALOM</v>
      </c>
      <c r="I17" s="102">
        <f>COUNTA(D!D5,D!I5,D!N6:N14)</f>
        <v>1</v>
      </c>
      <c r="J17" s="101">
        <f>COUNTIF(D!$Q$3:$Q$14,3)</f>
        <v>0</v>
      </c>
      <c r="K17" s="101">
        <f>COUNTIF(D!$Q$3:$Q$14,1)</f>
        <v>0</v>
      </c>
      <c r="L17" s="101">
        <f>COUNTIF(D!$Q$3:$Q$14,0)</f>
        <v>1</v>
      </c>
      <c r="M17" s="102">
        <f>SUM(D!$P$3:$P$14)</f>
        <v>1</v>
      </c>
      <c r="N17" s="102">
        <f>SUM(D!$O$3:$O$14)</f>
        <v>4</v>
      </c>
      <c r="O17" s="103">
        <f t="shared" si="0"/>
        <v>-3</v>
      </c>
      <c r="P17" s="104">
        <f t="shared" si="1"/>
        <v>4</v>
      </c>
      <c r="Q17" s="103">
        <f t="shared" si="2"/>
        <v>0</v>
      </c>
    </row>
    <row r="18" spans="7:17" ht="23.25" thickBot="1" x14ac:dyDescent="0.35">
      <c r="G18" s="202">
        <v>12</v>
      </c>
      <c r="H18" s="100" t="str">
        <f>IF(D!C4&lt;&gt;0,D!C4," ")</f>
        <v>LA PESADA</v>
      </c>
      <c r="I18" s="102">
        <f>COUNTA(D!D4,D!I5:I14)</f>
        <v>2</v>
      </c>
      <c r="J18" s="101">
        <f>COUNTIF(D!$L$3:$L$14,3)</f>
        <v>0</v>
      </c>
      <c r="K18" s="101">
        <f>COUNTIF(D!$L$3:$L$14,1)</f>
        <v>0</v>
      </c>
      <c r="L18" s="101">
        <f>COUNTIF(D!$L$3:$L$14,0)</f>
        <v>2</v>
      </c>
      <c r="M18" s="102">
        <f>SUM(D!$K$3:$K$14)</f>
        <v>1</v>
      </c>
      <c r="N18" s="102">
        <f>SUM(D!$J$3:$J$14)</f>
        <v>5</v>
      </c>
      <c r="O18" s="103">
        <f t="shared" si="0"/>
        <v>-4</v>
      </c>
      <c r="P18" s="104">
        <f t="shared" si="1"/>
        <v>2.5</v>
      </c>
      <c r="Q18" s="103">
        <f t="shared" si="2"/>
        <v>0</v>
      </c>
    </row>
    <row r="19" spans="7:17" x14ac:dyDescent="0.25">
      <c r="G19" s="96"/>
      <c r="H19" s="96"/>
      <c r="I19" s="97">
        <f>SUM(I7:I18)/2</f>
        <v>4</v>
      </c>
      <c r="J19" s="97">
        <f>SUM(J7:J18)</f>
        <v>3</v>
      </c>
      <c r="K19" s="97">
        <f>SUM(K7:K18)/2</f>
        <v>1</v>
      </c>
      <c r="L19" s="97">
        <f>SUM(L7:L18)</f>
        <v>3</v>
      </c>
      <c r="M19" s="97">
        <f>SUM(M7:M18)</f>
        <v>21</v>
      </c>
      <c r="N19" s="97">
        <f>SUM(N7:N18)</f>
        <v>21</v>
      </c>
      <c r="O19" s="97"/>
      <c r="P19" s="98"/>
      <c r="Q19" s="96"/>
    </row>
  </sheetData>
  <sheetProtection algorithmName="SHA-512" hashValue="OiZZ0yh55tksxuFmxJiXTr55BdyZ2duhcqCXinZg6MOiw+BzL6v1L9zncZS7pL0lJcKL1F0EVjm4ReqQV4Ywig==" saltValue="fo5pRtlrdFKcqUTAskOETQ==" spinCount="100000" sheet="1" objects="1" scenarios="1" formatCells="0" sort="0"/>
  <sortState ref="H7:Q18">
    <sortCondition descending="1" ref="Q7:Q18"/>
    <sortCondition descending="1" ref="O7:O18"/>
    <sortCondition ref="I7:I18"/>
    <sortCondition descending="1" ref="M7:M18"/>
    <sortCondition ref="N7:N18"/>
  </sortState>
  <mergeCells count="1">
    <mergeCell ref="H4:Q5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ACTUALIZAR_GRUPO_D">
                <anchor moveWithCells="1" sizeWithCells="1">
                  <from>
                    <xdr:col>17</xdr:col>
                    <xdr:colOff>619125</xdr:colOff>
                    <xdr:row>9</xdr:row>
                    <xdr:rowOff>38100</xdr:rowOff>
                  </from>
                  <to>
                    <xdr:col>19</xdr:col>
                    <xdr:colOff>933450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69EED-0E47-41A8-A5DD-370BE7CBCD1B}">
  <sheetPr codeName="Hoja10"/>
  <dimension ref="A1:I30"/>
  <sheetViews>
    <sheetView showGridLines="0" workbookViewId="0">
      <pane ySplit="5" topLeftCell="A6" activePane="bottomLeft" state="frozen"/>
      <selection pane="bottomLeft" sqref="A1:H2"/>
    </sheetView>
  </sheetViews>
  <sheetFormatPr baseColWidth="10" defaultRowHeight="12.95" customHeight="1" x14ac:dyDescent="0.25"/>
  <cols>
    <col min="1" max="1" width="9.7109375" style="153" customWidth="1"/>
    <col min="2" max="2" width="12.5703125" style="153" bestFit="1" customWidth="1"/>
    <col min="3" max="3" width="27.85546875" style="152" bestFit="1" customWidth="1"/>
    <col min="4" max="4" width="28.7109375" style="152" customWidth="1"/>
    <col min="5" max="5" width="9.7109375" style="154" customWidth="1"/>
    <col min="6" max="6" width="9.7109375" style="152" customWidth="1"/>
    <col min="7" max="7" width="11.42578125" style="152" hidden="1" customWidth="1"/>
    <col min="8" max="8" width="4.7109375" style="155" customWidth="1"/>
    <col min="9" max="9" width="46.42578125" style="152" hidden="1" customWidth="1"/>
    <col min="10" max="16384" width="11.42578125" style="152"/>
  </cols>
  <sheetData>
    <row r="1" spans="1:9" ht="12.95" customHeight="1" x14ac:dyDescent="0.25">
      <c r="A1" s="285" t="s">
        <v>344</v>
      </c>
      <c r="B1" s="285"/>
      <c r="C1" s="285"/>
      <c r="D1" s="285"/>
      <c r="E1" s="285"/>
      <c r="F1" s="285"/>
      <c r="G1" s="285"/>
      <c r="H1" s="285"/>
    </row>
    <row r="2" spans="1:9" ht="12.95" customHeight="1" x14ac:dyDescent="0.25">
      <c r="A2" s="285"/>
      <c r="B2" s="285"/>
      <c r="C2" s="285"/>
      <c r="D2" s="285"/>
      <c r="E2" s="285"/>
      <c r="F2" s="285"/>
      <c r="G2" s="285"/>
      <c r="H2" s="285"/>
    </row>
    <row r="4" spans="1:9" ht="12.95" hidden="1" customHeight="1" x14ac:dyDescent="0.25">
      <c r="E4" s="144">
        <f>SUM(Tabla115[GENERADO])</f>
        <v>54000</v>
      </c>
      <c r="F4" s="144">
        <f>SUM(Tabla115[PAGADO])</f>
        <v>12000</v>
      </c>
      <c r="G4" s="145">
        <f>F4/E4</f>
        <v>0.22222222222222221</v>
      </c>
    </row>
    <row r="5" spans="1:9" ht="12.95" customHeight="1" x14ac:dyDescent="0.25">
      <c r="A5" s="156" t="s">
        <v>67</v>
      </c>
      <c r="B5" s="156" t="s">
        <v>77</v>
      </c>
      <c r="C5" s="157" t="s">
        <v>78</v>
      </c>
      <c r="D5" s="157" t="s">
        <v>16</v>
      </c>
      <c r="E5" s="158" t="s">
        <v>79</v>
      </c>
      <c r="F5" s="159" t="s">
        <v>80</v>
      </c>
      <c r="G5" s="159" t="s">
        <v>81</v>
      </c>
      <c r="H5" s="160" t="s">
        <v>82</v>
      </c>
      <c r="I5" s="152" t="s">
        <v>83</v>
      </c>
    </row>
    <row r="6" spans="1:9" ht="12.95" hidden="1" customHeight="1" x14ac:dyDescent="0.25">
      <c r="A6" s="147">
        <v>44759</v>
      </c>
      <c r="B6" s="148">
        <v>75105958</v>
      </c>
      <c r="C6" s="146" t="str">
        <f>IF(B6&lt;&gt;0,VLOOKUP(Tabla115[[#This Row],[CEDULA]],Tabla5[],2,0)," ")</f>
        <v>JOSE DAVID OSPINA CORREA</v>
      </c>
      <c r="D6" s="146" t="str">
        <f>IF(B6&lt;&gt;0,VLOOKUP(Tabla115[[#This Row],[CEDULA]],Tabla5[],3,0)," ")</f>
        <v>ABC JURIDICAS S.A.S ( A )</v>
      </c>
      <c r="E6" s="149">
        <v>3000</v>
      </c>
      <c r="F6" s="149">
        <v>3000</v>
      </c>
      <c r="G6" s="150">
        <v>44759</v>
      </c>
      <c r="H6" s="151"/>
      <c r="I6" s="152" t="s">
        <v>84</v>
      </c>
    </row>
    <row r="7" spans="1:9" ht="12.95" hidden="1" customHeight="1" x14ac:dyDescent="0.25">
      <c r="A7" s="231">
        <v>44759</v>
      </c>
      <c r="B7" s="232">
        <v>1053821876</v>
      </c>
      <c r="C7" s="233" t="str">
        <f>IF(B7&lt;&gt;0,VLOOKUP(Tabla115[[#This Row],[CEDULA]],Tabla5[],2,0)," ")</f>
        <v>ANDRES FELIPE OSORIO SANCHEZ</v>
      </c>
      <c r="D7" s="233" t="str">
        <f>IF(B7&lt;&gt;0,VLOOKUP(Tabla115[[#This Row],[CEDULA]],Tabla5[],3,0)," ")</f>
        <v>ESTAMPADOS SANTI</v>
      </c>
      <c r="E7" s="234">
        <v>3000</v>
      </c>
      <c r="F7" s="149">
        <v>3000</v>
      </c>
      <c r="G7" s="150">
        <v>44765</v>
      </c>
      <c r="H7" s="151"/>
      <c r="I7" s="152" t="s">
        <v>85</v>
      </c>
    </row>
    <row r="8" spans="1:9" ht="12.95" customHeight="1" x14ac:dyDescent="0.25">
      <c r="A8" s="231">
        <v>44765</v>
      </c>
      <c r="B8" s="232">
        <v>1060588166</v>
      </c>
      <c r="C8" s="233" t="str">
        <f>IF(B8&lt;&gt;0,VLOOKUP(Tabla115[[#This Row],[CEDULA]],Tabla5[],2,0)," ")</f>
        <v>JOHN ALDEMAR BURBANO CARTAGENA</v>
      </c>
      <c r="D8" s="233" t="str">
        <f>IF(B8&lt;&gt;0,VLOOKUP(Tabla115[[#This Row],[CEDULA]],Tabla5[],3,0)," ")</f>
        <v>ABC JURIDICAS S.A.S ( A )</v>
      </c>
      <c r="E8" s="234">
        <v>3000</v>
      </c>
      <c r="F8" s="149"/>
      <c r="G8" s="150"/>
      <c r="H8" s="151"/>
      <c r="I8" s="152" t="s">
        <v>86</v>
      </c>
    </row>
    <row r="9" spans="1:9" ht="12.95" customHeight="1" x14ac:dyDescent="0.25">
      <c r="A9" s="231">
        <v>44765</v>
      </c>
      <c r="B9" s="232">
        <v>16090400</v>
      </c>
      <c r="C9" s="233" t="str">
        <f>IF(B9&lt;&gt;0,VLOOKUP(Tabla115[[#This Row],[CEDULA]],Tabla5[],2,0)," ")</f>
        <v>HERNAN AUGUSTO SALAZAR MAHECHA</v>
      </c>
      <c r="D9" s="233" t="str">
        <f>IF(B9&lt;&gt;0,VLOOKUP(Tabla115[[#This Row],[CEDULA]],Tabla5[],3,0)," ")</f>
        <v>ABC JURIDICAS S.A.S ( B )</v>
      </c>
      <c r="E9" s="234">
        <v>3000</v>
      </c>
      <c r="F9" s="149"/>
      <c r="G9" s="150"/>
      <c r="H9" s="151"/>
      <c r="I9" s="152" t="s">
        <v>87</v>
      </c>
    </row>
    <row r="10" spans="1:9" ht="12.95" customHeight="1" x14ac:dyDescent="0.25">
      <c r="A10" s="231">
        <v>44765</v>
      </c>
      <c r="B10" s="232">
        <v>1053812362</v>
      </c>
      <c r="C10" s="233" t="str">
        <f>IF(B10&lt;&gt;0,VLOOKUP(Tabla115[[#This Row],[CEDULA]],Tabla5[],2,0)," ")</f>
        <v>JHONATAN ZULUAGA HERNANDEZ</v>
      </c>
      <c r="D10" s="233" t="str">
        <f>IF(B10&lt;&gt;0,VLOOKUP(Tabla115[[#This Row],[CEDULA]],Tabla5[],3,0)," ")</f>
        <v>ABC JURIDICAS S.A.S ( B )</v>
      </c>
      <c r="E10" s="234">
        <v>3000</v>
      </c>
      <c r="F10" s="149"/>
      <c r="G10" s="150"/>
      <c r="H10" s="151"/>
      <c r="I10" s="152" t="s">
        <v>88</v>
      </c>
    </row>
    <row r="11" spans="1:9" ht="12.95" customHeight="1" x14ac:dyDescent="0.25">
      <c r="A11" s="231">
        <v>44765</v>
      </c>
      <c r="B11" s="232">
        <v>1002546408</v>
      </c>
      <c r="C11" s="233" t="str">
        <f>IF(B11&lt;&gt;0,VLOOKUP(Tabla115[[#This Row],[CEDULA]],Tabla5[],2,0)," ")</f>
        <v>YEIRON ESTIVEN MARULANDA BARCO</v>
      </c>
      <c r="D11" s="233" t="str">
        <f>IF(B11&lt;&gt;0,VLOOKUP(Tabla115[[#This Row],[CEDULA]],Tabla5[],3,0)," ")</f>
        <v>ABC JURIDICAS S.A.S ( B )</v>
      </c>
      <c r="E11" s="234">
        <v>3000</v>
      </c>
      <c r="F11" s="149"/>
      <c r="G11" s="150"/>
      <c r="H11" s="151"/>
      <c r="I11" s="152" t="s">
        <v>89</v>
      </c>
    </row>
    <row r="12" spans="1:9" ht="12.95" customHeight="1" x14ac:dyDescent="0.25">
      <c r="A12" s="231">
        <v>44765</v>
      </c>
      <c r="B12" s="232">
        <v>1053830686</v>
      </c>
      <c r="C12" s="233" t="str">
        <f>IF(B12&lt;&gt;0,VLOOKUP(Tabla115[[#This Row],[CEDULA]],Tabla5[],2,0)," ")</f>
        <v>CARLOS EDUARDO OROZCO MARIN</v>
      </c>
      <c r="D12" s="233" t="str">
        <f>IF(B12&lt;&gt;0,VLOOKUP(Tabla115[[#This Row],[CEDULA]],Tabla5[],3,0)," ")</f>
        <v>ARGENTINOS F.C</v>
      </c>
      <c r="E12" s="234">
        <v>3000</v>
      </c>
      <c r="F12" s="149"/>
      <c r="G12" s="150"/>
      <c r="H12" s="151"/>
      <c r="I12" s="152" t="s">
        <v>90</v>
      </c>
    </row>
    <row r="13" spans="1:9" ht="12.95" customHeight="1" x14ac:dyDescent="0.25">
      <c r="A13" s="231">
        <v>44766</v>
      </c>
      <c r="B13" s="232">
        <v>1060649936</v>
      </c>
      <c r="C13" s="233" t="str">
        <f>IF(B13&lt;&gt;0,VLOOKUP(Tabla115[[#This Row],[CEDULA]],Tabla5[],2,0)," ")</f>
        <v>DIEGO FERNANDO OSORIO HERRERA</v>
      </c>
      <c r="D13" s="233" t="str">
        <f>IF(B13&lt;&gt;0,VLOOKUP(Tabla115[[#This Row],[CEDULA]],Tabla5[],3,0)," ")</f>
        <v>EL ALTO</v>
      </c>
      <c r="E13" s="234">
        <v>3000</v>
      </c>
      <c r="F13" s="149"/>
      <c r="G13" s="150"/>
      <c r="H13" s="151"/>
      <c r="I13" s="152" t="s">
        <v>91</v>
      </c>
    </row>
    <row r="14" spans="1:9" ht="12.95" customHeight="1" x14ac:dyDescent="0.25">
      <c r="A14" s="231">
        <v>44765</v>
      </c>
      <c r="B14" s="232">
        <v>1053868051</v>
      </c>
      <c r="C14" s="233" t="str">
        <f>IF(B14&lt;&gt;0,VLOOKUP(Tabla115[[#This Row],[CEDULA]],Tabla5[],2,0)," ")</f>
        <v>JUAN MANUEL LONDOÑO ZAPATA</v>
      </c>
      <c r="D14" s="233" t="str">
        <f>IF(B14&lt;&gt;0,VLOOKUP(Tabla115[[#This Row],[CEDULA]],Tabla5[],3,0)," ")</f>
        <v>EMBRAGUES Y CAJAS QUINTERO</v>
      </c>
      <c r="E14" s="234">
        <v>3000</v>
      </c>
      <c r="F14" s="149"/>
      <c r="G14" s="150"/>
      <c r="H14" s="151"/>
      <c r="I14" s="152" t="s">
        <v>92</v>
      </c>
    </row>
    <row r="15" spans="1:9" ht="12.95" customHeight="1" x14ac:dyDescent="0.25">
      <c r="A15" s="231">
        <v>44765</v>
      </c>
      <c r="B15" s="232">
        <v>1053845162</v>
      </c>
      <c r="C15" s="233" t="str">
        <f>IF(B15&lt;&gt;0,VLOOKUP(Tabla115[[#This Row],[CEDULA]],Tabla5[],2,0)," ")</f>
        <v>MATEO TRUJILLO SERNA</v>
      </c>
      <c r="D15" s="233" t="str">
        <f>IF(B15&lt;&gt;0,VLOOKUP(Tabla115[[#This Row],[CEDULA]],Tabla5[],3,0)," ")</f>
        <v>GR CONSTRUCCIONES</v>
      </c>
      <c r="E15" s="234">
        <v>3000</v>
      </c>
      <c r="F15" s="149"/>
      <c r="G15" s="150"/>
      <c r="H15" s="151"/>
      <c r="I15" s="152" t="s">
        <v>93</v>
      </c>
    </row>
    <row r="16" spans="1:9" ht="12.95" customHeight="1" x14ac:dyDescent="0.25">
      <c r="A16" s="231">
        <v>44765</v>
      </c>
      <c r="B16" s="232">
        <v>1053839959</v>
      </c>
      <c r="C16" s="233" t="str">
        <f>IF(B16&lt;&gt;0,VLOOKUP(Tabla115[[#This Row],[CEDULA]],Tabla5[],2,0)," ")</f>
        <v>SANTIAGO PATIÑO GIRALDO</v>
      </c>
      <c r="D16" s="233" t="str">
        <f>IF(B16&lt;&gt;0,VLOOKUP(Tabla115[[#This Row],[CEDULA]],Tabla5[],3,0)," ")</f>
        <v>GR CONSTRUCCIONES</v>
      </c>
      <c r="E16" s="234">
        <v>3000</v>
      </c>
      <c r="F16" s="149"/>
      <c r="G16" s="150"/>
      <c r="H16" s="151"/>
      <c r="I16" s="152" t="s">
        <v>94</v>
      </c>
    </row>
    <row r="17" spans="1:9" ht="12.95" customHeight="1" x14ac:dyDescent="0.25">
      <c r="A17" s="231">
        <v>44765</v>
      </c>
      <c r="B17" s="232">
        <v>9976154</v>
      </c>
      <c r="C17" s="233" t="str">
        <f>IF(B17&lt;&gt;0,VLOOKUP(Tabla115[[#This Row],[CEDULA]],Tabla5[],2,0)," ")</f>
        <v>DARIO FRANCO HURTADO</v>
      </c>
      <c r="D17" s="233" t="str">
        <f>IF(B17&lt;&gt;0,VLOOKUP(Tabla115[[#This Row],[CEDULA]],Tabla5[],3,0)," ")</f>
        <v>LOS PRIMOS</v>
      </c>
      <c r="E17" s="234">
        <v>3000</v>
      </c>
      <c r="F17" s="149"/>
      <c r="G17" s="150"/>
      <c r="H17" s="151"/>
      <c r="I17" s="152" t="s">
        <v>95</v>
      </c>
    </row>
    <row r="18" spans="1:9" ht="12.95" customHeight="1" x14ac:dyDescent="0.25">
      <c r="A18" s="231">
        <v>44765</v>
      </c>
      <c r="B18" s="232">
        <v>1002609115</v>
      </c>
      <c r="C18" s="233" t="str">
        <f>IF(B18&lt;&gt;0,VLOOKUP(Tabla115[[#This Row],[CEDULA]],Tabla5[],2,0)," ")</f>
        <v>SANTIAGO CAMPO RESTREPO</v>
      </c>
      <c r="D18" s="233" t="str">
        <f>IF(B18&lt;&gt;0,VLOOKUP(Tabla115[[#This Row],[CEDULA]],Tabla5[],3,0)," ")</f>
        <v>LOS PRIMOS</v>
      </c>
      <c r="E18" s="234">
        <v>3000</v>
      </c>
      <c r="F18" s="149"/>
      <c r="G18" s="150"/>
      <c r="H18" s="151"/>
      <c r="I18" s="152" t="s">
        <v>96</v>
      </c>
    </row>
    <row r="19" spans="1:9" ht="12.95" customHeight="1" x14ac:dyDescent="0.25">
      <c r="A19" s="231">
        <v>44766</v>
      </c>
      <c r="B19" s="232">
        <v>1053866286</v>
      </c>
      <c r="C19" s="233" t="str">
        <f>IF(B19&lt;&gt;0,VLOOKUP(Tabla115[[#This Row],[CEDULA]],Tabla5[],2,0)," ")</f>
        <v>HERNAN EDUARDO PIEDRAHITA GIL</v>
      </c>
      <c r="D19" s="233" t="str">
        <f>IF(B19&lt;&gt;0,VLOOKUP(Tabla115[[#This Row],[CEDULA]],Tabla5[],3,0)," ")</f>
        <v>OPTICA SHALOM</v>
      </c>
      <c r="E19" s="234">
        <v>3000</v>
      </c>
      <c r="F19" s="149"/>
      <c r="G19" s="150"/>
      <c r="H19" s="151"/>
      <c r="I19" s="152" t="s">
        <v>97</v>
      </c>
    </row>
    <row r="20" spans="1:9" ht="12.95" customHeight="1" x14ac:dyDescent="0.25">
      <c r="A20" s="231">
        <v>44766</v>
      </c>
      <c r="B20" s="232">
        <v>1007502005</v>
      </c>
      <c r="C20" s="233" t="str">
        <f>IF(B20&lt;&gt;0,VLOOKUP(Tabla115[[#This Row],[CEDULA]],Tabla5[],2,0)," ")</f>
        <v>JUAN BREINER HERNANDEZ MARIN</v>
      </c>
      <c r="D20" s="233" t="str">
        <f>IF(B20&lt;&gt;0,VLOOKUP(Tabla115[[#This Row],[CEDULA]],Tabla5[],3,0)," ")</f>
        <v>OPTICA SHALOM</v>
      </c>
      <c r="E20" s="234">
        <v>3000</v>
      </c>
      <c r="F20" s="149"/>
      <c r="G20" s="150"/>
      <c r="H20" s="151"/>
      <c r="I20" s="152" t="s">
        <v>98</v>
      </c>
    </row>
    <row r="21" spans="1:9" ht="12.95" hidden="1" customHeight="1" x14ac:dyDescent="0.25">
      <c r="A21" s="231">
        <v>44765</v>
      </c>
      <c r="B21" s="232">
        <v>1056122459</v>
      </c>
      <c r="C21" s="233" t="str">
        <f>IF(B21&lt;&gt;0,VLOOKUP(Tabla115[[#This Row],[CEDULA]],Tabla5[],2,0)," ")</f>
        <v>CAMILO VELANDIA PALACIO</v>
      </c>
      <c r="D21" s="233" t="str">
        <f>IF(B21&lt;&gt;0,VLOOKUP(Tabla115[[#This Row],[CEDULA]],Tabla5[],3,0)," ")</f>
        <v>RECONSTRUCTORA TITO</v>
      </c>
      <c r="E21" s="234">
        <v>3000</v>
      </c>
      <c r="F21" s="149">
        <v>3000</v>
      </c>
      <c r="G21" s="150">
        <v>44765</v>
      </c>
      <c r="H21" s="151"/>
      <c r="I21" s="152" t="s">
        <v>99</v>
      </c>
    </row>
    <row r="22" spans="1:9" ht="12.95" hidden="1" customHeight="1" x14ac:dyDescent="0.25">
      <c r="A22" s="231">
        <v>44765</v>
      </c>
      <c r="B22" s="232">
        <v>1053842713</v>
      </c>
      <c r="C22" s="233" t="str">
        <f>IF(B22&lt;&gt;0,VLOOKUP(Tabla115[[#This Row],[CEDULA]],Tabla5[],2,0)," ")</f>
        <v>DANIEL PALACIO PUERTA</v>
      </c>
      <c r="D22" s="233" t="str">
        <f>IF(B22&lt;&gt;0,VLOOKUP(Tabla115[[#This Row],[CEDULA]],Tabla5[],3,0)," ")</f>
        <v>RECONSTRUCTORA TITO</v>
      </c>
      <c r="E22" s="234">
        <v>3000</v>
      </c>
      <c r="F22" s="149">
        <v>3000</v>
      </c>
      <c r="G22" s="150">
        <v>44765</v>
      </c>
      <c r="H22" s="151"/>
      <c r="I22" s="152" t="s">
        <v>100</v>
      </c>
    </row>
    <row r="23" spans="1:9" ht="12.95" customHeight="1" x14ac:dyDescent="0.25">
      <c r="A23" s="231">
        <v>44759</v>
      </c>
      <c r="B23" s="232">
        <v>1053841262</v>
      </c>
      <c r="C23" s="233" t="str">
        <f>IF(B23&lt;&gt;0,VLOOKUP(Tabla115[[#This Row],[CEDULA]],Tabla5[],2,0)," ")</f>
        <v>CRISTIAN DAVID TABARES</v>
      </c>
      <c r="D23" s="233" t="str">
        <f>IF(B23&lt;&gt;0,VLOOKUP(Tabla115[[#This Row],[CEDULA]],Tabla5[],3,0)," ")</f>
        <v>RESTAURANTE GRAN CHINA</v>
      </c>
      <c r="E23" s="234">
        <v>3000</v>
      </c>
      <c r="F23" s="149"/>
      <c r="G23" s="150"/>
      <c r="H23" s="151"/>
      <c r="I23" s="152" t="s">
        <v>101</v>
      </c>
    </row>
    <row r="24" spans="1:9" ht="12.95" customHeight="1" x14ac:dyDescent="0.25">
      <c r="I24" s="152" t="s">
        <v>104</v>
      </c>
    </row>
    <row r="25" spans="1:9" ht="12.95" customHeight="1" x14ac:dyDescent="0.25">
      <c r="I25" s="152" t="s">
        <v>105</v>
      </c>
    </row>
    <row r="26" spans="1:9" ht="12.95" customHeight="1" x14ac:dyDescent="0.25">
      <c r="I26" s="152" t="s">
        <v>106</v>
      </c>
    </row>
    <row r="27" spans="1:9" ht="12.95" customHeight="1" x14ac:dyDescent="0.25">
      <c r="I27" s="152" t="s">
        <v>107</v>
      </c>
    </row>
    <row r="28" spans="1:9" ht="12.95" customHeight="1" x14ac:dyDescent="0.25">
      <c r="I28" s="152" t="s">
        <v>108</v>
      </c>
    </row>
    <row r="29" spans="1:9" ht="12.95" customHeight="1" x14ac:dyDescent="0.25">
      <c r="I29" s="152" t="s">
        <v>109</v>
      </c>
    </row>
    <row r="30" spans="1:9" ht="12.95" customHeight="1" x14ac:dyDescent="0.25">
      <c r="I30" s="152" t="s">
        <v>110</v>
      </c>
    </row>
  </sheetData>
  <sheetProtection formatCells="0" formatColumns="0" formatRows="0" insertColumns="0" insertRows="0" sort="0" autoFilter="0" pivotTables="0"/>
  <protectedRanges>
    <protectedRange algorithmName="SHA-512" hashValue="6xHqSa0jx9BZQ0H3d5v/Wkc/PqmduM3VU5PWE3N2BcEHBk1Xa2M9SyYKQexIBM6HVIwU1IiDCrxczWdpRrhbjg==" saltValue="3yVsfSHzQOtOTuFSmXVt+g==" spinCount="100000" sqref="A1" name="TITULO"/>
    <protectedRange algorithmName="SHA-512" hashValue="rgL0fxx1oTtaF8ju7zuI0nX3hwTawkX/108BbOrdvHuOqPKRKiDLcpVFpBPND8VfxwEZEqUSfBU7uMEzWsVWgQ==" saltValue="Brs3/v1UqHEDnkLW0W5sQA==" spinCount="100000" sqref="A6:B23 E6:H23" name="TABLA"/>
  </protectedRanges>
  <mergeCells count="1">
    <mergeCell ref="A1:H2"/>
  </mergeCells>
  <conditionalFormatting sqref="F4 E3:E1048576">
    <cfRule type="cellIs" dxfId="69" priority="3" operator="equal">
      <formula>6000</formula>
    </cfRule>
    <cfRule type="cellIs" dxfId="68" priority="4" operator="equal">
      <formula>3000</formula>
    </cfRule>
  </conditionalFormatting>
  <dataValidations count="1">
    <dataValidation allowBlank="1" showDropDown="1" showInputMessage="1" showErrorMessage="1" sqref="E6:E23" xr:uid="{E7E05BC6-C070-4F3D-85DA-AD2E3BFDE412}"/>
  </dataValidations>
  <pageMargins left="0.23622047244094491" right="0.23622047244094491" top="4.7244094488188981" bottom="0.19685039370078741" header="0.31496062992125984" footer="0.31496062992125984"/>
  <pageSetup orientation="portrait" horizontalDpi="300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1"/>
  <dimension ref="H1:R54"/>
  <sheetViews>
    <sheetView showGridLines="0" workbookViewId="0"/>
  </sheetViews>
  <sheetFormatPr baseColWidth="10" defaultRowHeight="15" x14ac:dyDescent="0.25"/>
  <cols>
    <col min="1" max="7" width="11.42578125" style="1"/>
    <col min="8" max="8" width="5.28515625" style="1" bestFit="1" customWidth="1"/>
    <col min="9" max="9" width="50.140625" style="1" bestFit="1" customWidth="1"/>
    <col min="10" max="10" width="5.28515625" style="1" bestFit="1" customWidth="1"/>
    <col min="11" max="11" width="6.42578125" style="1" bestFit="1" customWidth="1"/>
    <col min="12" max="14" width="6.28515625" style="1" bestFit="1" customWidth="1"/>
    <col min="15" max="15" width="6.42578125" style="1" bestFit="1" customWidth="1"/>
    <col min="16" max="16" width="6.7109375" style="3" bestFit="1" customWidth="1"/>
    <col min="17" max="17" width="10.85546875" style="3" bestFit="1" customWidth="1"/>
    <col min="18" max="18" width="9.5703125" style="1" bestFit="1" customWidth="1"/>
    <col min="19" max="19" width="11.42578125" style="1"/>
    <col min="20" max="20" width="4.140625" style="1" bestFit="1" customWidth="1"/>
    <col min="21" max="21" width="45.7109375" style="1" customWidth="1"/>
    <col min="22" max="22" width="4.28515625" style="1" bestFit="1" customWidth="1"/>
    <col min="23" max="23" width="5.140625" style="1" bestFit="1" customWidth="1"/>
    <col min="24" max="24" width="4.7109375" style="1" bestFit="1" customWidth="1"/>
    <col min="25" max="25" width="4.85546875" style="1" bestFit="1" customWidth="1"/>
    <col min="26" max="26" width="5" style="1" bestFit="1" customWidth="1"/>
    <col min="27" max="27" width="5.140625" style="1" bestFit="1" customWidth="1"/>
    <col min="28" max="28" width="5.42578125" style="1" bestFit="1" customWidth="1"/>
    <col min="29" max="29" width="7.140625" style="1" bestFit="1" customWidth="1"/>
    <col min="30" max="16384" width="11.42578125" style="1"/>
  </cols>
  <sheetData>
    <row r="1" spans="8:18" x14ac:dyDescent="0.25">
      <c r="P1" s="92"/>
      <c r="Q1" s="92"/>
    </row>
    <row r="2" spans="8:18" x14ac:dyDescent="0.25">
      <c r="P2" s="92"/>
      <c r="Q2" s="92"/>
    </row>
    <row r="3" spans="8:18" ht="15.75" thickBot="1" x14ac:dyDescent="0.3">
      <c r="P3" s="92"/>
      <c r="Q3" s="92"/>
    </row>
    <row r="4" spans="8:18" ht="23.25" thickBot="1" x14ac:dyDescent="0.35">
      <c r="I4" s="286" t="s">
        <v>36</v>
      </c>
      <c r="J4" s="287"/>
      <c r="K4" s="287"/>
      <c r="L4" s="287"/>
      <c r="M4" s="287"/>
      <c r="N4" s="287"/>
      <c r="O4" s="287"/>
      <c r="P4" s="287"/>
      <c r="Q4" s="287"/>
      <c r="R4" s="288"/>
    </row>
    <row r="5" spans="8:18" ht="23.25" thickBot="1" x14ac:dyDescent="0.35">
      <c r="I5" s="203" t="s">
        <v>16</v>
      </c>
      <c r="J5" s="204" t="s">
        <v>19</v>
      </c>
      <c r="K5" s="204" t="s">
        <v>20</v>
      </c>
      <c r="L5" s="204" t="s">
        <v>21</v>
      </c>
      <c r="M5" s="204" t="s">
        <v>22</v>
      </c>
      <c r="N5" s="204" t="s">
        <v>23</v>
      </c>
      <c r="O5" s="204" t="s">
        <v>24</v>
      </c>
      <c r="P5" s="204" t="s">
        <v>25</v>
      </c>
      <c r="Q5" s="204" t="s">
        <v>38</v>
      </c>
      <c r="R5" s="204" t="s">
        <v>26</v>
      </c>
    </row>
    <row r="6" spans="8:18" ht="23.25" thickBot="1" x14ac:dyDescent="0.35">
      <c r="H6" s="205">
        <v>1</v>
      </c>
      <c r="I6" s="5"/>
      <c r="J6" s="2"/>
      <c r="K6" s="2"/>
      <c r="L6" s="2"/>
      <c r="M6" s="2"/>
      <c r="N6" s="2"/>
      <c r="O6" s="2"/>
      <c r="P6" s="2">
        <f t="shared" ref="P6:P32" si="0">N6-O6</f>
        <v>0</v>
      </c>
      <c r="Q6" s="109" t="e">
        <f t="shared" ref="Q6:Q32" si="1">O6/J6</f>
        <v>#DIV/0!</v>
      </c>
      <c r="R6" s="2">
        <f t="shared" ref="R6:R32" si="2">(K6*3)+L6</f>
        <v>0</v>
      </c>
    </row>
    <row r="7" spans="8:18" ht="23.25" thickBot="1" x14ac:dyDescent="0.35">
      <c r="H7" s="206">
        <v>2</v>
      </c>
      <c r="I7" s="5"/>
      <c r="J7" s="2"/>
      <c r="K7" s="2"/>
      <c r="L7" s="2"/>
      <c r="M7" s="2"/>
      <c r="N7" s="2"/>
      <c r="O7" s="2"/>
      <c r="P7" s="2">
        <f t="shared" si="0"/>
        <v>0</v>
      </c>
      <c r="Q7" s="109" t="e">
        <f t="shared" si="1"/>
        <v>#DIV/0!</v>
      </c>
      <c r="R7" s="2">
        <f t="shared" si="2"/>
        <v>0</v>
      </c>
    </row>
    <row r="8" spans="8:18" ht="23.25" thickBot="1" x14ac:dyDescent="0.35">
      <c r="H8" s="205">
        <v>3</v>
      </c>
      <c r="I8" s="5"/>
      <c r="J8" s="2"/>
      <c r="K8" s="2"/>
      <c r="L8" s="2"/>
      <c r="M8" s="2"/>
      <c r="N8" s="2"/>
      <c r="O8" s="2"/>
      <c r="P8" s="2">
        <f t="shared" si="0"/>
        <v>0</v>
      </c>
      <c r="Q8" s="109" t="e">
        <f t="shared" si="1"/>
        <v>#DIV/0!</v>
      </c>
      <c r="R8" s="2">
        <f t="shared" si="2"/>
        <v>0</v>
      </c>
    </row>
    <row r="9" spans="8:18" ht="23.25" thickBot="1" x14ac:dyDescent="0.35">
      <c r="H9" s="206">
        <v>4</v>
      </c>
      <c r="I9" s="4"/>
      <c r="J9" s="6"/>
      <c r="K9" s="6"/>
      <c r="L9" s="6"/>
      <c r="M9" s="6"/>
      <c r="N9" s="6"/>
      <c r="O9" s="6"/>
      <c r="P9" s="2">
        <f t="shared" si="0"/>
        <v>0</v>
      </c>
      <c r="Q9" s="109" t="e">
        <f t="shared" si="1"/>
        <v>#DIV/0!</v>
      </c>
      <c r="R9" s="2">
        <f t="shared" si="2"/>
        <v>0</v>
      </c>
    </row>
    <row r="10" spans="8:18" ht="23.25" thickBot="1" x14ac:dyDescent="0.35">
      <c r="H10" s="205">
        <v>5</v>
      </c>
      <c r="I10" s="5"/>
      <c r="J10" s="2"/>
      <c r="K10" s="2"/>
      <c r="L10" s="2"/>
      <c r="M10" s="2"/>
      <c r="N10" s="2"/>
      <c r="O10" s="2"/>
      <c r="P10" s="2">
        <f t="shared" si="0"/>
        <v>0</v>
      </c>
      <c r="Q10" s="109" t="e">
        <f t="shared" si="1"/>
        <v>#DIV/0!</v>
      </c>
      <c r="R10" s="2">
        <f t="shared" si="2"/>
        <v>0</v>
      </c>
    </row>
    <row r="11" spans="8:18" ht="23.25" thickBot="1" x14ac:dyDescent="0.35">
      <c r="H11" s="206">
        <v>6</v>
      </c>
      <c r="I11" s="5"/>
      <c r="J11" s="2"/>
      <c r="K11" s="2"/>
      <c r="L11" s="2"/>
      <c r="M11" s="2"/>
      <c r="N11" s="2"/>
      <c r="O11" s="2"/>
      <c r="P11" s="2">
        <f t="shared" si="0"/>
        <v>0</v>
      </c>
      <c r="Q11" s="109" t="e">
        <f t="shared" si="1"/>
        <v>#DIV/0!</v>
      </c>
      <c r="R11" s="2">
        <f t="shared" si="2"/>
        <v>0</v>
      </c>
    </row>
    <row r="12" spans="8:18" ht="23.25" thickBot="1" x14ac:dyDescent="0.35">
      <c r="H12" s="205">
        <v>7</v>
      </c>
      <c r="I12" s="4"/>
      <c r="J12" s="6"/>
      <c r="K12" s="6"/>
      <c r="L12" s="6"/>
      <c r="M12" s="6"/>
      <c r="N12" s="6"/>
      <c r="O12" s="6"/>
      <c r="P12" s="2">
        <f t="shared" si="0"/>
        <v>0</v>
      </c>
      <c r="Q12" s="109" t="e">
        <f t="shared" si="1"/>
        <v>#DIV/0!</v>
      </c>
      <c r="R12" s="2">
        <f t="shared" si="2"/>
        <v>0</v>
      </c>
    </row>
    <row r="13" spans="8:18" ht="23.25" thickBot="1" x14ac:dyDescent="0.35">
      <c r="H13" s="206">
        <v>8</v>
      </c>
      <c r="I13" s="5"/>
      <c r="J13" s="2"/>
      <c r="K13" s="2"/>
      <c r="L13" s="2"/>
      <c r="M13" s="2"/>
      <c r="N13" s="2"/>
      <c r="O13" s="2"/>
      <c r="P13" s="2">
        <f t="shared" si="0"/>
        <v>0</v>
      </c>
      <c r="Q13" s="109" t="e">
        <f t="shared" si="1"/>
        <v>#DIV/0!</v>
      </c>
      <c r="R13" s="2">
        <f t="shared" si="2"/>
        <v>0</v>
      </c>
    </row>
    <row r="14" spans="8:18" ht="23.25" thickBot="1" x14ac:dyDescent="0.35">
      <c r="H14" s="205">
        <v>9</v>
      </c>
      <c r="I14" s="5"/>
      <c r="J14" s="2"/>
      <c r="K14" s="2"/>
      <c r="L14" s="2"/>
      <c r="M14" s="2"/>
      <c r="N14" s="2"/>
      <c r="O14" s="2"/>
      <c r="P14" s="2">
        <f t="shared" si="0"/>
        <v>0</v>
      </c>
      <c r="Q14" s="109" t="e">
        <f t="shared" si="1"/>
        <v>#DIV/0!</v>
      </c>
      <c r="R14" s="2">
        <f t="shared" si="2"/>
        <v>0</v>
      </c>
    </row>
    <row r="15" spans="8:18" ht="23.25" thickBot="1" x14ac:dyDescent="0.35">
      <c r="H15" s="206">
        <v>10</v>
      </c>
      <c r="I15" s="4"/>
      <c r="J15" s="6"/>
      <c r="K15" s="6"/>
      <c r="L15" s="6"/>
      <c r="M15" s="6"/>
      <c r="N15" s="6"/>
      <c r="O15" s="6"/>
      <c r="P15" s="2">
        <f t="shared" si="0"/>
        <v>0</v>
      </c>
      <c r="Q15" s="109" t="e">
        <f t="shared" si="1"/>
        <v>#DIV/0!</v>
      </c>
      <c r="R15" s="2">
        <f t="shared" si="2"/>
        <v>0</v>
      </c>
    </row>
    <row r="16" spans="8:18" ht="23.25" thickBot="1" x14ac:dyDescent="0.35">
      <c r="H16" s="205">
        <v>11</v>
      </c>
      <c r="I16" s="5"/>
      <c r="J16" s="2"/>
      <c r="K16" s="2"/>
      <c r="L16" s="2"/>
      <c r="M16" s="2"/>
      <c r="N16" s="2"/>
      <c r="O16" s="2"/>
      <c r="P16" s="2">
        <f t="shared" si="0"/>
        <v>0</v>
      </c>
      <c r="Q16" s="109" t="e">
        <f t="shared" si="1"/>
        <v>#DIV/0!</v>
      </c>
      <c r="R16" s="2">
        <f t="shared" si="2"/>
        <v>0</v>
      </c>
    </row>
    <row r="17" spans="8:18" ht="23.25" thickBot="1" x14ac:dyDescent="0.35">
      <c r="H17" s="206">
        <v>12</v>
      </c>
      <c r="I17" s="4"/>
      <c r="J17" s="6"/>
      <c r="K17" s="6"/>
      <c r="L17" s="6"/>
      <c r="M17" s="6"/>
      <c r="N17" s="6"/>
      <c r="O17" s="6"/>
      <c r="P17" s="2">
        <f t="shared" si="0"/>
        <v>0</v>
      </c>
      <c r="Q17" s="109" t="e">
        <f t="shared" si="1"/>
        <v>#DIV/0!</v>
      </c>
      <c r="R17" s="2">
        <f t="shared" si="2"/>
        <v>0</v>
      </c>
    </row>
    <row r="18" spans="8:18" ht="23.25" thickBot="1" x14ac:dyDescent="0.35">
      <c r="H18" s="205">
        <v>13</v>
      </c>
      <c r="I18" s="4"/>
      <c r="J18" s="6"/>
      <c r="K18" s="6"/>
      <c r="L18" s="6"/>
      <c r="M18" s="6"/>
      <c r="N18" s="6"/>
      <c r="O18" s="6"/>
      <c r="P18" s="2">
        <f t="shared" si="0"/>
        <v>0</v>
      </c>
      <c r="Q18" s="109" t="e">
        <f t="shared" si="1"/>
        <v>#DIV/0!</v>
      </c>
      <c r="R18" s="2">
        <f t="shared" si="2"/>
        <v>0</v>
      </c>
    </row>
    <row r="19" spans="8:18" ht="23.25" thickBot="1" x14ac:dyDescent="0.35">
      <c r="H19" s="206">
        <v>14</v>
      </c>
      <c r="I19" s="5"/>
      <c r="J19" s="2"/>
      <c r="K19" s="2"/>
      <c r="L19" s="2"/>
      <c r="M19" s="2"/>
      <c r="N19" s="2"/>
      <c r="O19" s="2"/>
      <c r="P19" s="2">
        <f t="shared" si="0"/>
        <v>0</v>
      </c>
      <c r="Q19" s="109" t="e">
        <f t="shared" si="1"/>
        <v>#DIV/0!</v>
      </c>
      <c r="R19" s="2">
        <f t="shared" si="2"/>
        <v>0</v>
      </c>
    </row>
    <row r="20" spans="8:18" ht="23.25" thickBot="1" x14ac:dyDescent="0.35">
      <c r="H20" s="205">
        <v>15</v>
      </c>
      <c r="I20" s="5"/>
      <c r="J20" s="2"/>
      <c r="K20" s="2"/>
      <c r="L20" s="2"/>
      <c r="M20" s="2"/>
      <c r="N20" s="2"/>
      <c r="O20" s="2"/>
      <c r="P20" s="2">
        <f t="shared" si="0"/>
        <v>0</v>
      </c>
      <c r="Q20" s="109" t="e">
        <f t="shared" si="1"/>
        <v>#DIV/0!</v>
      </c>
      <c r="R20" s="2">
        <f t="shared" si="2"/>
        <v>0</v>
      </c>
    </row>
    <row r="21" spans="8:18" ht="23.25" thickBot="1" x14ac:dyDescent="0.35">
      <c r="H21" s="206">
        <v>16</v>
      </c>
      <c r="I21" s="5"/>
      <c r="J21" s="2"/>
      <c r="K21" s="2"/>
      <c r="L21" s="2"/>
      <c r="M21" s="2"/>
      <c r="N21" s="2"/>
      <c r="O21" s="2"/>
      <c r="P21" s="2">
        <f t="shared" si="0"/>
        <v>0</v>
      </c>
      <c r="Q21" s="109" t="e">
        <f t="shared" si="1"/>
        <v>#DIV/0!</v>
      </c>
      <c r="R21" s="2">
        <f t="shared" si="2"/>
        <v>0</v>
      </c>
    </row>
    <row r="22" spans="8:18" ht="23.25" thickBot="1" x14ac:dyDescent="0.35">
      <c r="H22" s="205">
        <v>17</v>
      </c>
      <c r="I22" s="4"/>
      <c r="J22" s="6"/>
      <c r="K22" s="6"/>
      <c r="L22" s="6"/>
      <c r="M22" s="6"/>
      <c r="N22" s="6"/>
      <c r="O22" s="6"/>
      <c r="P22" s="2">
        <f t="shared" si="0"/>
        <v>0</v>
      </c>
      <c r="Q22" s="109" t="e">
        <f t="shared" si="1"/>
        <v>#DIV/0!</v>
      </c>
      <c r="R22" s="2">
        <f t="shared" si="2"/>
        <v>0</v>
      </c>
    </row>
    <row r="23" spans="8:18" ht="23.25" thickBot="1" x14ac:dyDescent="0.35">
      <c r="H23" s="206">
        <v>18</v>
      </c>
      <c r="I23" s="5"/>
      <c r="J23" s="2"/>
      <c r="K23" s="2"/>
      <c r="L23" s="2"/>
      <c r="M23" s="2"/>
      <c r="N23" s="2"/>
      <c r="O23" s="2"/>
      <c r="P23" s="2">
        <f t="shared" si="0"/>
        <v>0</v>
      </c>
      <c r="Q23" s="109" t="e">
        <f t="shared" si="1"/>
        <v>#DIV/0!</v>
      </c>
      <c r="R23" s="2">
        <f t="shared" si="2"/>
        <v>0</v>
      </c>
    </row>
    <row r="24" spans="8:18" ht="23.25" thickBot="1" x14ac:dyDescent="0.35">
      <c r="H24" s="205">
        <v>19</v>
      </c>
      <c r="I24" s="4"/>
      <c r="J24" s="6"/>
      <c r="K24" s="6"/>
      <c r="L24" s="6"/>
      <c r="M24" s="6"/>
      <c r="N24" s="6"/>
      <c r="O24" s="6"/>
      <c r="P24" s="2">
        <f t="shared" si="0"/>
        <v>0</v>
      </c>
      <c r="Q24" s="109" t="e">
        <f t="shared" si="1"/>
        <v>#DIV/0!</v>
      </c>
      <c r="R24" s="2">
        <f t="shared" si="2"/>
        <v>0</v>
      </c>
    </row>
    <row r="25" spans="8:18" ht="23.25" thickBot="1" x14ac:dyDescent="0.35">
      <c r="H25" s="206">
        <v>20</v>
      </c>
      <c r="I25" s="5"/>
      <c r="J25" s="2"/>
      <c r="K25" s="2"/>
      <c r="L25" s="2"/>
      <c r="M25" s="2"/>
      <c r="N25" s="2"/>
      <c r="O25" s="2"/>
      <c r="P25" s="2">
        <f t="shared" si="0"/>
        <v>0</v>
      </c>
      <c r="Q25" s="109" t="e">
        <f t="shared" si="1"/>
        <v>#DIV/0!</v>
      </c>
      <c r="R25" s="2">
        <f t="shared" si="2"/>
        <v>0</v>
      </c>
    </row>
    <row r="26" spans="8:18" ht="23.25" thickBot="1" x14ac:dyDescent="0.35">
      <c r="H26" s="205">
        <v>21</v>
      </c>
      <c r="I26" s="5"/>
      <c r="J26" s="2"/>
      <c r="K26" s="2"/>
      <c r="L26" s="2"/>
      <c r="M26" s="2"/>
      <c r="N26" s="2"/>
      <c r="O26" s="2"/>
      <c r="P26" s="2">
        <f t="shared" si="0"/>
        <v>0</v>
      </c>
      <c r="Q26" s="109" t="e">
        <f t="shared" si="1"/>
        <v>#DIV/0!</v>
      </c>
      <c r="R26" s="2">
        <f t="shared" si="2"/>
        <v>0</v>
      </c>
    </row>
    <row r="27" spans="8:18" ht="23.25" thickBot="1" x14ac:dyDescent="0.35">
      <c r="H27" s="206">
        <v>22</v>
      </c>
      <c r="I27" s="5"/>
      <c r="J27" s="2"/>
      <c r="K27" s="2"/>
      <c r="L27" s="2"/>
      <c r="M27" s="2"/>
      <c r="N27" s="2"/>
      <c r="O27" s="2"/>
      <c r="P27" s="2">
        <f t="shared" si="0"/>
        <v>0</v>
      </c>
      <c r="Q27" s="109" t="e">
        <f t="shared" si="1"/>
        <v>#DIV/0!</v>
      </c>
      <c r="R27" s="2">
        <f t="shared" si="2"/>
        <v>0</v>
      </c>
    </row>
    <row r="28" spans="8:18" ht="23.25" thickBot="1" x14ac:dyDescent="0.35">
      <c r="H28" s="205">
        <v>23</v>
      </c>
      <c r="I28" s="5"/>
      <c r="J28" s="2"/>
      <c r="K28" s="2"/>
      <c r="L28" s="2"/>
      <c r="M28" s="2"/>
      <c r="N28" s="2"/>
      <c r="O28" s="2"/>
      <c r="P28" s="2">
        <f t="shared" si="0"/>
        <v>0</v>
      </c>
      <c r="Q28" s="109" t="e">
        <f t="shared" si="1"/>
        <v>#DIV/0!</v>
      </c>
      <c r="R28" s="2">
        <f t="shared" si="2"/>
        <v>0</v>
      </c>
    </row>
    <row r="29" spans="8:18" ht="23.25" thickBot="1" x14ac:dyDescent="0.35">
      <c r="H29" s="206">
        <v>24</v>
      </c>
      <c r="I29" s="5"/>
      <c r="J29" s="2"/>
      <c r="K29" s="2"/>
      <c r="L29" s="2"/>
      <c r="M29" s="2"/>
      <c r="N29" s="2"/>
      <c r="O29" s="2"/>
      <c r="P29" s="2">
        <f t="shared" si="0"/>
        <v>0</v>
      </c>
      <c r="Q29" s="109" t="e">
        <f t="shared" si="1"/>
        <v>#DIV/0!</v>
      </c>
      <c r="R29" s="2">
        <f t="shared" si="2"/>
        <v>0</v>
      </c>
    </row>
    <row r="30" spans="8:18" ht="23.25" thickBot="1" x14ac:dyDescent="0.35">
      <c r="H30" s="205">
        <v>25</v>
      </c>
      <c r="I30" s="4"/>
      <c r="J30" s="6"/>
      <c r="K30" s="6"/>
      <c r="L30" s="6"/>
      <c r="M30" s="6"/>
      <c r="N30" s="6"/>
      <c r="O30" s="6"/>
      <c r="P30" s="2">
        <f t="shared" si="0"/>
        <v>0</v>
      </c>
      <c r="Q30" s="109" t="e">
        <f t="shared" si="1"/>
        <v>#DIV/0!</v>
      </c>
      <c r="R30" s="2">
        <f t="shared" si="2"/>
        <v>0</v>
      </c>
    </row>
    <row r="31" spans="8:18" ht="23.25" thickBot="1" x14ac:dyDescent="0.35">
      <c r="H31" s="206">
        <v>26</v>
      </c>
      <c r="I31" s="5"/>
      <c r="J31" s="2"/>
      <c r="K31" s="2"/>
      <c r="L31" s="2"/>
      <c r="M31" s="2"/>
      <c r="N31" s="2"/>
      <c r="O31" s="2"/>
      <c r="P31" s="2">
        <f t="shared" si="0"/>
        <v>0</v>
      </c>
      <c r="Q31" s="109" t="e">
        <f t="shared" si="1"/>
        <v>#DIV/0!</v>
      </c>
      <c r="R31" s="2">
        <f t="shared" si="2"/>
        <v>0</v>
      </c>
    </row>
    <row r="32" spans="8:18" ht="23.25" thickBot="1" x14ac:dyDescent="0.35">
      <c r="H32" s="205">
        <v>27</v>
      </c>
      <c r="I32" s="5"/>
      <c r="J32" s="2"/>
      <c r="K32" s="2"/>
      <c r="L32" s="2"/>
      <c r="M32" s="2"/>
      <c r="N32" s="2"/>
      <c r="O32" s="2"/>
      <c r="P32" s="2">
        <f t="shared" si="0"/>
        <v>0</v>
      </c>
      <c r="Q32" s="109" t="e">
        <f t="shared" si="1"/>
        <v>#DIV/0!</v>
      </c>
      <c r="R32" s="2">
        <f t="shared" si="2"/>
        <v>0</v>
      </c>
    </row>
    <row r="33" spans="8:18" ht="23.25" thickBot="1" x14ac:dyDescent="0.35">
      <c r="H33" s="206">
        <v>28</v>
      </c>
      <c r="I33" s="5"/>
      <c r="J33" s="2"/>
      <c r="K33" s="2"/>
      <c r="L33" s="2"/>
      <c r="M33" s="2"/>
      <c r="N33" s="2"/>
      <c r="O33" s="2"/>
      <c r="P33" s="2">
        <f t="shared" ref="P33:P53" si="3">N33-O33</f>
        <v>0</v>
      </c>
      <c r="Q33" s="109" t="e">
        <f t="shared" ref="Q33:Q53" si="4">O33/J33</f>
        <v>#DIV/0!</v>
      </c>
      <c r="R33" s="2">
        <f t="shared" ref="R33:R53" si="5">(K33*3)+L33</f>
        <v>0</v>
      </c>
    </row>
    <row r="34" spans="8:18" ht="23.25" thickBot="1" x14ac:dyDescent="0.35">
      <c r="H34" s="205">
        <v>29</v>
      </c>
      <c r="I34" s="5"/>
      <c r="J34" s="2"/>
      <c r="K34" s="2"/>
      <c r="L34" s="2"/>
      <c r="M34" s="2"/>
      <c r="N34" s="2"/>
      <c r="O34" s="2"/>
      <c r="P34" s="2">
        <f t="shared" si="3"/>
        <v>0</v>
      </c>
      <c r="Q34" s="109" t="e">
        <f t="shared" si="4"/>
        <v>#DIV/0!</v>
      </c>
      <c r="R34" s="2">
        <f t="shared" si="5"/>
        <v>0</v>
      </c>
    </row>
    <row r="35" spans="8:18" ht="23.25" thickBot="1" x14ac:dyDescent="0.35">
      <c r="H35" s="206">
        <v>30</v>
      </c>
      <c r="I35" s="5"/>
      <c r="J35" s="2"/>
      <c r="K35" s="2"/>
      <c r="L35" s="2"/>
      <c r="M35" s="2"/>
      <c r="N35" s="2"/>
      <c r="O35" s="2"/>
      <c r="P35" s="2">
        <f t="shared" si="3"/>
        <v>0</v>
      </c>
      <c r="Q35" s="109" t="e">
        <f t="shared" si="4"/>
        <v>#DIV/0!</v>
      </c>
      <c r="R35" s="2">
        <f t="shared" si="5"/>
        <v>0</v>
      </c>
    </row>
    <row r="36" spans="8:18" ht="23.25" thickBot="1" x14ac:dyDescent="0.35">
      <c r="H36" s="205">
        <v>31</v>
      </c>
      <c r="I36" s="5"/>
      <c r="J36" s="2"/>
      <c r="K36" s="2"/>
      <c r="L36" s="2"/>
      <c r="M36" s="2"/>
      <c r="N36" s="2"/>
      <c r="O36" s="2"/>
      <c r="P36" s="2">
        <f t="shared" si="3"/>
        <v>0</v>
      </c>
      <c r="Q36" s="109" t="e">
        <f t="shared" si="4"/>
        <v>#DIV/0!</v>
      </c>
      <c r="R36" s="2">
        <f t="shared" si="5"/>
        <v>0</v>
      </c>
    </row>
    <row r="37" spans="8:18" ht="23.25" thickBot="1" x14ac:dyDescent="0.35">
      <c r="H37" s="206">
        <v>32</v>
      </c>
      <c r="I37" s="5"/>
      <c r="J37" s="2"/>
      <c r="K37" s="2"/>
      <c r="L37" s="2"/>
      <c r="M37" s="2"/>
      <c r="N37" s="2"/>
      <c r="O37" s="2"/>
      <c r="P37" s="2">
        <f t="shared" si="3"/>
        <v>0</v>
      </c>
      <c r="Q37" s="109" t="e">
        <f t="shared" si="4"/>
        <v>#DIV/0!</v>
      </c>
      <c r="R37" s="2">
        <f t="shared" si="5"/>
        <v>0</v>
      </c>
    </row>
    <row r="38" spans="8:18" ht="23.25" thickBot="1" x14ac:dyDescent="0.35">
      <c r="H38" s="205">
        <v>33</v>
      </c>
      <c r="I38" s="5"/>
      <c r="J38" s="2"/>
      <c r="K38" s="2"/>
      <c r="L38" s="2"/>
      <c r="M38" s="2"/>
      <c r="N38" s="2"/>
      <c r="O38" s="2"/>
      <c r="P38" s="2">
        <f t="shared" si="3"/>
        <v>0</v>
      </c>
      <c r="Q38" s="109" t="e">
        <f t="shared" si="4"/>
        <v>#DIV/0!</v>
      </c>
      <c r="R38" s="2">
        <f t="shared" si="5"/>
        <v>0</v>
      </c>
    </row>
    <row r="39" spans="8:18" ht="23.25" thickBot="1" x14ac:dyDescent="0.35">
      <c r="H39" s="206">
        <v>34</v>
      </c>
      <c r="I39" s="5"/>
      <c r="J39" s="2"/>
      <c r="K39" s="2"/>
      <c r="L39" s="2"/>
      <c r="M39" s="2"/>
      <c r="N39" s="2"/>
      <c r="O39" s="2"/>
      <c r="P39" s="2">
        <f t="shared" si="3"/>
        <v>0</v>
      </c>
      <c r="Q39" s="109" t="e">
        <f t="shared" si="4"/>
        <v>#DIV/0!</v>
      </c>
      <c r="R39" s="2">
        <f t="shared" si="5"/>
        <v>0</v>
      </c>
    </row>
    <row r="40" spans="8:18" ht="23.25" thickBot="1" x14ac:dyDescent="0.35">
      <c r="H40" s="205">
        <v>35</v>
      </c>
      <c r="I40" s="5"/>
      <c r="J40" s="2"/>
      <c r="K40" s="2"/>
      <c r="L40" s="2"/>
      <c r="M40" s="2"/>
      <c r="N40" s="2"/>
      <c r="O40" s="2"/>
      <c r="P40" s="2">
        <f t="shared" si="3"/>
        <v>0</v>
      </c>
      <c r="Q40" s="109" t="e">
        <f t="shared" si="4"/>
        <v>#DIV/0!</v>
      </c>
      <c r="R40" s="2">
        <f t="shared" si="5"/>
        <v>0</v>
      </c>
    </row>
    <row r="41" spans="8:18" ht="23.25" thickBot="1" x14ac:dyDescent="0.35">
      <c r="H41" s="206">
        <v>36</v>
      </c>
      <c r="I41" s="5"/>
      <c r="J41" s="2"/>
      <c r="K41" s="2"/>
      <c r="L41" s="2"/>
      <c r="M41" s="2"/>
      <c r="N41" s="2"/>
      <c r="O41" s="2"/>
      <c r="P41" s="2">
        <f t="shared" si="3"/>
        <v>0</v>
      </c>
      <c r="Q41" s="109" t="e">
        <f t="shared" si="4"/>
        <v>#DIV/0!</v>
      </c>
      <c r="R41" s="2">
        <f t="shared" si="5"/>
        <v>0</v>
      </c>
    </row>
    <row r="42" spans="8:18" ht="23.25" thickBot="1" x14ac:dyDescent="0.35">
      <c r="H42" s="205">
        <v>37</v>
      </c>
      <c r="I42" s="5"/>
      <c r="J42" s="2"/>
      <c r="K42" s="2"/>
      <c r="L42" s="2"/>
      <c r="M42" s="2"/>
      <c r="N42" s="2"/>
      <c r="O42" s="2"/>
      <c r="P42" s="2">
        <f t="shared" si="3"/>
        <v>0</v>
      </c>
      <c r="Q42" s="109" t="e">
        <f t="shared" si="4"/>
        <v>#DIV/0!</v>
      </c>
      <c r="R42" s="2">
        <f t="shared" si="5"/>
        <v>0</v>
      </c>
    </row>
    <row r="43" spans="8:18" ht="23.25" thickBot="1" x14ac:dyDescent="0.35">
      <c r="H43" s="206">
        <v>38</v>
      </c>
      <c r="I43" s="5"/>
      <c r="J43" s="2"/>
      <c r="K43" s="2"/>
      <c r="L43" s="2"/>
      <c r="M43" s="2"/>
      <c r="N43" s="2"/>
      <c r="O43" s="2"/>
      <c r="P43" s="2">
        <f t="shared" si="3"/>
        <v>0</v>
      </c>
      <c r="Q43" s="109" t="e">
        <f t="shared" si="4"/>
        <v>#DIV/0!</v>
      </c>
      <c r="R43" s="2">
        <f t="shared" si="5"/>
        <v>0</v>
      </c>
    </row>
    <row r="44" spans="8:18" ht="23.25" thickBot="1" x14ac:dyDescent="0.35">
      <c r="H44" s="205">
        <v>39</v>
      </c>
      <c r="I44" s="5"/>
      <c r="J44" s="2"/>
      <c r="K44" s="2"/>
      <c r="L44" s="2"/>
      <c r="M44" s="2"/>
      <c r="N44" s="2"/>
      <c r="O44" s="2"/>
      <c r="P44" s="2">
        <f t="shared" si="3"/>
        <v>0</v>
      </c>
      <c r="Q44" s="109" t="e">
        <f t="shared" si="4"/>
        <v>#DIV/0!</v>
      </c>
      <c r="R44" s="2">
        <f t="shared" si="5"/>
        <v>0</v>
      </c>
    </row>
    <row r="45" spans="8:18" ht="23.25" thickBot="1" x14ac:dyDescent="0.35">
      <c r="H45" s="206">
        <v>40</v>
      </c>
      <c r="I45" s="5"/>
      <c r="J45" s="2"/>
      <c r="K45" s="2"/>
      <c r="L45" s="2"/>
      <c r="M45" s="2"/>
      <c r="N45" s="2"/>
      <c r="O45" s="2"/>
      <c r="P45" s="2">
        <f t="shared" si="3"/>
        <v>0</v>
      </c>
      <c r="Q45" s="109" t="e">
        <f t="shared" si="4"/>
        <v>#DIV/0!</v>
      </c>
      <c r="R45" s="2">
        <f t="shared" si="5"/>
        <v>0</v>
      </c>
    </row>
    <row r="46" spans="8:18" ht="23.25" thickBot="1" x14ac:dyDescent="0.35">
      <c r="H46" s="205">
        <v>41</v>
      </c>
      <c r="I46" s="5"/>
      <c r="J46" s="2"/>
      <c r="K46" s="2"/>
      <c r="L46" s="2"/>
      <c r="M46" s="2"/>
      <c r="N46" s="2"/>
      <c r="O46" s="2"/>
      <c r="P46" s="2">
        <f t="shared" si="3"/>
        <v>0</v>
      </c>
      <c r="Q46" s="109" t="e">
        <f t="shared" si="4"/>
        <v>#DIV/0!</v>
      </c>
      <c r="R46" s="2">
        <f t="shared" si="5"/>
        <v>0</v>
      </c>
    </row>
    <row r="47" spans="8:18" ht="23.25" thickBot="1" x14ac:dyDescent="0.35">
      <c r="H47" s="206">
        <v>42</v>
      </c>
      <c r="I47" s="5"/>
      <c r="J47" s="2"/>
      <c r="K47" s="2"/>
      <c r="L47" s="2"/>
      <c r="M47" s="2"/>
      <c r="N47" s="2"/>
      <c r="O47" s="2"/>
      <c r="P47" s="2">
        <f t="shared" si="3"/>
        <v>0</v>
      </c>
      <c r="Q47" s="109" t="e">
        <f t="shared" si="4"/>
        <v>#DIV/0!</v>
      </c>
      <c r="R47" s="2">
        <f t="shared" si="5"/>
        <v>0</v>
      </c>
    </row>
    <row r="48" spans="8:18" ht="23.25" thickBot="1" x14ac:dyDescent="0.35">
      <c r="H48" s="205">
        <v>43</v>
      </c>
      <c r="I48" s="5"/>
      <c r="J48" s="2"/>
      <c r="K48" s="2"/>
      <c r="L48" s="2"/>
      <c r="M48" s="2"/>
      <c r="N48" s="2"/>
      <c r="O48" s="2"/>
      <c r="P48" s="2">
        <f t="shared" si="3"/>
        <v>0</v>
      </c>
      <c r="Q48" s="109" t="e">
        <f t="shared" si="4"/>
        <v>#DIV/0!</v>
      </c>
      <c r="R48" s="2">
        <f t="shared" si="5"/>
        <v>0</v>
      </c>
    </row>
    <row r="49" spans="8:18" ht="23.25" thickBot="1" x14ac:dyDescent="0.35">
      <c r="H49" s="206">
        <v>44</v>
      </c>
      <c r="I49" s="5"/>
      <c r="J49" s="2"/>
      <c r="K49" s="2"/>
      <c r="L49" s="2"/>
      <c r="M49" s="2"/>
      <c r="N49" s="2"/>
      <c r="O49" s="2"/>
      <c r="P49" s="2">
        <f t="shared" si="3"/>
        <v>0</v>
      </c>
      <c r="Q49" s="109" t="e">
        <f t="shared" si="4"/>
        <v>#DIV/0!</v>
      </c>
      <c r="R49" s="2">
        <f t="shared" si="5"/>
        <v>0</v>
      </c>
    </row>
    <row r="50" spans="8:18" ht="23.25" thickBot="1" x14ac:dyDescent="0.35">
      <c r="H50" s="205">
        <v>45</v>
      </c>
      <c r="I50" s="5"/>
      <c r="J50" s="2"/>
      <c r="K50" s="2"/>
      <c r="L50" s="2"/>
      <c r="M50" s="2"/>
      <c r="N50" s="2"/>
      <c r="O50" s="2"/>
      <c r="P50" s="2">
        <f t="shared" si="3"/>
        <v>0</v>
      </c>
      <c r="Q50" s="109" t="e">
        <f t="shared" si="4"/>
        <v>#DIV/0!</v>
      </c>
      <c r="R50" s="2">
        <f t="shared" si="5"/>
        <v>0</v>
      </c>
    </row>
    <row r="51" spans="8:18" ht="23.25" thickBot="1" x14ac:dyDescent="0.35">
      <c r="H51" s="206">
        <v>46</v>
      </c>
      <c r="I51" s="5"/>
      <c r="J51" s="2"/>
      <c r="K51" s="2"/>
      <c r="L51" s="2"/>
      <c r="M51" s="2"/>
      <c r="N51" s="2"/>
      <c r="O51" s="2"/>
      <c r="P51" s="2">
        <f t="shared" si="3"/>
        <v>0</v>
      </c>
      <c r="Q51" s="109" t="e">
        <f t="shared" si="4"/>
        <v>#DIV/0!</v>
      </c>
      <c r="R51" s="2">
        <f t="shared" si="5"/>
        <v>0</v>
      </c>
    </row>
    <row r="52" spans="8:18" ht="23.25" thickBot="1" x14ac:dyDescent="0.35">
      <c r="H52" s="205">
        <v>47</v>
      </c>
      <c r="I52" s="5"/>
      <c r="J52" s="2"/>
      <c r="K52" s="2"/>
      <c r="L52" s="2"/>
      <c r="M52" s="2"/>
      <c r="N52" s="2"/>
      <c r="O52" s="2"/>
      <c r="P52" s="2">
        <f t="shared" si="3"/>
        <v>0</v>
      </c>
      <c r="Q52" s="109" t="e">
        <f t="shared" si="4"/>
        <v>#DIV/0!</v>
      </c>
      <c r="R52" s="2">
        <f t="shared" si="5"/>
        <v>0</v>
      </c>
    </row>
    <row r="53" spans="8:18" ht="23.25" thickBot="1" x14ac:dyDescent="0.35">
      <c r="H53" s="206">
        <v>48</v>
      </c>
      <c r="I53" s="5"/>
      <c r="J53" s="2"/>
      <c r="K53" s="2"/>
      <c r="L53" s="2"/>
      <c r="M53" s="2"/>
      <c r="N53" s="2"/>
      <c r="O53" s="2"/>
      <c r="P53" s="2">
        <f t="shared" si="3"/>
        <v>0</v>
      </c>
      <c r="Q53" s="109" t="e">
        <f t="shared" si="4"/>
        <v>#DIV/0!</v>
      </c>
      <c r="R53" s="2">
        <f t="shared" si="5"/>
        <v>0</v>
      </c>
    </row>
    <row r="54" spans="8:18" x14ac:dyDescent="0.25">
      <c r="J54" s="3">
        <f>SUM(J6:J53)/2</f>
        <v>0</v>
      </c>
      <c r="K54" s="3">
        <f>SUM(K6:K53)</f>
        <v>0</v>
      </c>
      <c r="L54" s="3">
        <f>SUM(L6:L53)/2</f>
        <v>0</v>
      </c>
      <c r="M54" s="3">
        <f>SUM(M6:M53)</f>
        <v>0</v>
      </c>
      <c r="N54" s="3">
        <f>SUM(N6:N53)</f>
        <v>0</v>
      </c>
      <c r="O54" s="3">
        <f>SUM(O6:O53)</f>
        <v>0</v>
      </c>
    </row>
  </sheetData>
  <protectedRanges>
    <protectedRange sqref="I6:O53" name="Rango1"/>
  </protectedRanges>
  <sortState ref="I6:R53">
    <sortCondition descending="1" ref="R6:R53"/>
    <sortCondition descending="1" ref="P6:P53"/>
    <sortCondition ref="J6:J53"/>
    <sortCondition descending="1" ref="N6:N53"/>
  </sortState>
  <mergeCells count="1">
    <mergeCell ref="I4:R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1"/>
  <dimension ref="H2:P33"/>
  <sheetViews>
    <sheetView zoomScale="95" zoomScaleNormal="95" workbookViewId="0"/>
  </sheetViews>
  <sheetFormatPr baseColWidth="10" defaultRowHeight="15" x14ac:dyDescent="0.25"/>
  <cols>
    <col min="1" max="6" width="11.42578125" style="112"/>
    <col min="7" max="8" width="2.7109375" style="112" customWidth="1"/>
    <col min="9" max="9" width="37" style="112" bestFit="1" customWidth="1"/>
    <col min="10" max="10" width="3.7109375" style="112" customWidth="1"/>
    <col min="11" max="11" width="36" style="112" bestFit="1" customWidth="1"/>
    <col min="12" max="12" width="3.7109375" style="112" customWidth="1"/>
    <col min="13" max="13" width="35.7109375" style="112" customWidth="1"/>
    <col min="14" max="14" width="3.7109375" style="112" customWidth="1"/>
    <col min="15" max="15" width="38.5703125" style="112" bestFit="1" customWidth="1"/>
    <col min="16" max="17" width="2.7109375" style="112" customWidth="1"/>
    <col min="18" max="16384" width="11.42578125" style="112"/>
  </cols>
  <sheetData>
    <row r="2" spans="8:16" ht="6" customHeight="1" thickBot="1" x14ac:dyDescent="0.3"/>
    <row r="3" spans="8:16" ht="9.9499999999999993" customHeight="1" thickBot="1" x14ac:dyDescent="0.3">
      <c r="H3" s="113"/>
      <c r="I3" s="114"/>
      <c r="J3" s="114"/>
      <c r="K3" s="114"/>
      <c r="L3" s="114"/>
      <c r="M3" s="114"/>
      <c r="N3" s="114"/>
      <c r="O3" s="114"/>
      <c r="P3" s="115"/>
    </row>
    <row r="4" spans="8:16" ht="20.100000000000001" customHeight="1" thickBot="1" x14ac:dyDescent="0.3">
      <c r="H4" s="116"/>
      <c r="I4" s="138" t="s">
        <v>120</v>
      </c>
      <c r="J4" s="117"/>
      <c r="K4" s="138" t="s">
        <v>121</v>
      </c>
      <c r="L4" s="117"/>
      <c r="M4" s="138" t="s">
        <v>122</v>
      </c>
      <c r="N4" s="117"/>
      <c r="O4" s="138" t="s">
        <v>123</v>
      </c>
      <c r="P4" s="118"/>
    </row>
    <row r="5" spans="8:16" ht="20.100000000000001" customHeight="1" thickBot="1" x14ac:dyDescent="0.3">
      <c r="H5" s="116"/>
      <c r="I5" s="117"/>
      <c r="J5" s="117"/>
      <c r="K5" s="117"/>
      <c r="L5" s="117"/>
      <c r="M5" s="117"/>
      <c r="N5" s="117"/>
      <c r="O5" s="117"/>
      <c r="P5" s="118"/>
    </row>
    <row r="6" spans="8:16" ht="20.100000000000001" customHeight="1" x14ac:dyDescent="0.25">
      <c r="H6" s="116"/>
      <c r="I6" s="139" t="s">
        <v>9</v>
      </c>
      <c r="J6" s="119"/>
      <c r="K6" s="139" t="s">
        <v>12</v>
      </c>
      <c r="L6" s="119"/>
      <c r="M6" s="139" t="s">
        <v>42</v>
      </c>
      <c r="N6" s="119"/>
      <c r="O6" s="139" t="s">
        <v>43</v>
      </c>
      <c r="P6" s="118"/>
    </row>
    <row r="7" spans="8:16" ht="20.100000000000001" customHeight="1" thickBot="1" x14ac:dyDescent="0.3">
      <c r="H7" s="116"/>
      <c r="I7" s="120" t="str">
        <f>'GRUPO A'!H7</f>
        <v>DISTRIBUIDORA LA ESQUINA</v>
      </c>
      <c r="J7" s="119"/>
      <c r="K7" s="120" t="str">
        <f>'GRUPO B'!H7</f>
        <v>ABC JURIDICAS S.A.S ( B )</v>
      </c>
      <c r="L7" s="119"/>
      <c r="M7" s="120" t="str">
        <f>'GRUPO C'!H7</f>
        <v>EMBRAGUES Y CAJAS QUINTERO</v>
      </c>
      <c r="N7" s="119"/>
      <c r="O7" s="120" t="str">
        <f>'GRUPO D'!H7</f>
        <v>ABC JURIDICAS S.A.S ( A )</v>
      </c>
      <c r="P7" s="118"/>
    </row>
    <row r="8" spans="8:16" ht="20.100000000000001" customHeight="1" thickBot="1" x14ac:dyDescent="0.3">
      <c r="H8" s="116"/>
      <c r="I8" s="119"/>
      <c r="J8" s="119"/>
      <c r="K8" s="119"/>
      <c r="L8" s="119"/>
      <c r="M8" s="119"/>
      <c r="N8" s="119"/>
      <c r="O8" s="119"/>
      <c r="P8" s="118"/>
    </row>
    <row r="9" spans="8:16" ht="20.100000000000001" customHeight="1" x14ac:dyDescent="0.25">
      <c r="H9" s="116"/>
      <c r="I9" s="139" t="s">
        <v>10</v>
      </c>
      <c r="J9" s="119"/>
      <c r="K9" s="139" t="s">
        <v>44</v>
      </c>
      <c r="L9" s="119"/>
      <c r="M9" s="139" t="s">
        <v>45</v>
      </c>
      <c r="N9" s="119"/>
      <c r="O9" s="139" t="s">
        <v>14</v>
      </c>
      <c r="P9" s="118"/>
    </row>
    <row r="10" spans="8:16" ht="20.100000000000001" customHeight="1" thickBot="1" x14ac:dyDescent="0.3">
      <c r="H10" s="116"/>
      <c r="I10" s="120" t="str">
        <f>'GRUPO B'!H9</f>
        <v>BODEGAS COLOMBIA</v>
      </c>
      <c r="J10" s="119"/>
      <c r="K10" s="120" t="str">
        <f>'GRUPO C'!H9</f>
        <v>LOS PRIMOS</v>
      </c>
      <c r="L10" s="119"/>
      <c r="M10" s="121" t="str">
        <f>'GRUPO D'!H9</f>
        <v>EL PARCHE</v>
      </c>
      <c r="N10" s="119"/>
      <c r="O10" s="121" t="str">
        <f>'GRUPO A'!H9</f>
        <v>RESTAURANTE GRAN CHINA</v>
      </c>
      <c r="P10" s="118"/>
    </row>
    <row r="11" spans="8:16" ht="20.100000000000001" customHeight="1" thickBot="1" x14ac:dyDescent="0.3">
      <c r="H11" s="116"/>
      <c r="I11" s="119"/>
      <c r="J11" s="119"/>
      <c r="K11" s="119"/>
      <c r="L11" s="119"/>
      <c r="M11" s="119"/>
      <c r="N11" s="119"/>
      <c r="O11" s="119"/>
      <c r="P11" s="118"/>
    </row>
    <row r="12" spans="8:16" ht="20.100000000000001" customHeight="1" x14ac:dyDescent="0.25">
      <c r="H12" s="116"/>
      <c r="I12" s="139" t="s">
        <v>40</v>
      </c>
      <c r="J12" s="119"/>
      <c r="K12" s="139" t="s">
        <v>46</v>
      </c>
      <c r="L12" s="119"/>
      <c r="M12" s="139" t="s">
        <v>47</v>
      </c>
      <c r="N12" s="119"/>
      <c r="O12" s="139" t="s">
        <v>15</v>
      </c>
      <c r="P12" s="118"/>
    </row>
    <row r="13" spans="8:16" ht="20.100000000000001" customHeight="1" thickBot="1" x14ac:dyDescent="0.3">
      <c r="H13" s="116"/>
      <c r="I13" s="120" t="str">
        <f>'GRUPO C'!H11</f>
        <v xml:space="preserve"> </v>
      </c>
      <c r="J13" s="119"/>
      <c r="K13" s="121" t="str">
        <f>'GRUPO D'!H11</f>
        <v>INTER CLUB</v>
      </c>
      <c r="L13" s="119"/>
      <c r="M13" s="121" t="str">
        <f>'GRUPO A'!H11</f>
        <v>VILLA CITY</v>
      </c>
      <c r="N13" s="119"/>
      <c r="O13" s="120" t="str">
        <f>'GRUPO B'!H11</f>
        <v>PLATENSE</v>
      </c>
      <c r="P13" s="118"/>
    </row>
    <row r="14" spans="8:16" ht="20.100000000000001" customHeight="1" thickBot="1" x14ac:dyDescent="0.3">
      <c r="H14" s="116"/>
      <c r="I14" s="119"/>
      <c r="J14" s="119"/>
      <c r="K14" s="119"/>
      <c r="L14" s="119"/>
      <c r="M14" s="119"/>
      <c r="N14" s="119"/>
      <c r="O14" s="119"/>
      <c r="P14" s="118"/>
    </row>
    <row r="15" spans="8:16" ht="20.100000000000001" customHeight="1" x14ac:dyDescent="0.25">
      <c r="H15" s="116"/>
      <c r="I15" s="139" t="s">
        <v>48</v>
      </c>
      <c r="J15" s="119"/>
      <c r="K15" s="139" t="s">
        <v>32</v>
      </c>
      <c r="L15" s="119"/>
      <c r="M15" s="139" t="s">
        <v>28</v>
      </c>
      <c r="N15" s="119"/>
      <c r="O15" s="139" t="s">
        <v>49</v>
      </c>
      <c r="P15" s="118"/>
    </row>
    <row r="16" spans="8:16" ht="20.100000000000001" customHeight="1" thickBot="1" x14ac:dyDescent="0.3">
      <c r="H16" s="116"/>
      <c r="I16" s="121" t="str">
        <f>'GRUPO D'!H13</f>
        <v>RESTAURANTE LUNA CHINA - 200 COPAS</v>
      </c>
      <c r="J16" s="119"/>
      <c r="K16" s="121" t="str">
        <f>'GRUPO A'!H13</f>
        <v xml:space="preserve"> </v>
      </c>
      <c r="L16" s="119"/>
      <c r="M16" s="120" t="str">
        <f>'GRUPO B'!H13</f>
        <v>RB LEIPZIG</v>
      </c>
      <c r="N16" s="119"/>
      <c r="O16" s="121" t="str">
        <f>'GRUPO C'!H13</f>
        <v xml:space="preserve"> </v>
      </c>
      <c r="P16" s="118"/>
    </row>
    <row r="17" spans="8:16" ht="20.100000000000001" customHeight="1" thickBot="1" x14ac:dyDescent="0.3">
      <c r="H17" s="116"/>
      <c r="I17" s="122"/>
      <c r="J17" s="123"/>
      <c r="K17" s="123"/>
      <c r="L17" s="123"/>
      <c r="M17" s="123"/>
      <c r="N17" s="123"/>
      <c r="O17" s="123"/>
      <c r="P17" s="118"/>
    </row>
    <row r="18" spans="8:16" ht="20.100000000000001" customHeight="1" thickTop="1" thickBot="1" x14ac:dyDescent="0.3">
      <c r="H18" s="116"/>
      <c r="I18" s="124"/>
      <c r="J18" s="124"/>
      <c r="K18" s="124"/>
      <c r="L18" s="124"/>
      <c r="M18" s="124"/>
      <c r="N18" s="124"/>
      <c r="O18" s="124"/>
      <c r="P18" s="118"/>
    </row>
    <row r="19" spans="8:16" ht="20.100000000000001" customHeight="1" thickBot="1" x14ac:dyDescent="0.3">
      <c r="H19" s="116"/>
      <c r="I19" s="138" t="s">
        <v>124</v>
      </c>
      <c r="J19" s="117"/>
      <c r="K19" s="138" t="s">
        <v>125</v>
      </c>
      <c r="L19" s="117"/>
      <c r="M19" s="138" t="s">
        <v>126</v>
      </c>
      <c r="N19" s="117"/>
      <c r="O19" s="138" t="s">
        <v>127</v>
      </c>
      <c r="P19" s="118"/>
    </row>
    <row r="20" spans="8:16" ht="20.100000000000001" customHeight="1" thickBot="1" x14ac:dyDescent="0.3">
      <c r="H20" s="116"/>
      <c r="I20" s="117"/>
      <c r="J20" s="117"/>
      <c r="K20" s="117"/>
      <c r="L20" s="117"/>
      <c r="M20" s="117"/>
      <c r="N20" s="117"/>
      <c r="O20" s="117"/>
      <c r="P20" s="118"/>
    </row>
    <row r="21" spans="8:16" ht="20.100000000000001" customHeight="1" x14ac:dyDescent="0.25">
      <c r="H21" s="116"/>
      <c r="I21" s="139" t="s">
        <v>13</v>
      </c>
      <c r="J21" s="119"/>
      <c r="K21" s="139" t="s">
        <v>11</v>
      </c>
      <c r="L21" s="119"/>
      <c r="M21" s="139" t="s">
        <v>50</v>
      </c>
      <c r="N21" s="119"/>
      <c r="O21" s="139" t="s">
        <v>51</v>
      </c>
      <c r="P21" s="118"/>
    </row>
    <row r="22" spans="8:16" ht="20.100000000000001" customHeight="1" thickBot="1" x14ac:dyDescent="0.3">
      <c r="H22" s="116"/>
      <c r="I22" s="121" t="str">
        <f>'GRUPO A'!H8</f>
        <v>ESTAMPADOS SANTI</v>
      </c>
      <c r="J22" s="119"/>
      <c r="K22" s="120" t="str">
        <f>'GRUPO B'!H8</f>
        <v>BILIF MANIZALES (EL CARMEN)</v>
      </c>
      <c r="L22" s="119"/>
      <c r="M22" s="120" t="str">
        <f>'GRUPO C'!H8</f>
        <v>ARGENTINOS F.C</v>
      </c>
      <c r="N22" s="119"/>
      <c r="O22" s="121" t="str">
        <f>'GRUPO D'!H8</f>
        <v>EL ALTO</v>
      </c>
      <c r="P22" s="118"/>
    </row>
    <row r="23" spans="8:16" ht="20.100000000000001" customHeight="1" thickBot="1" x14ac:dyDescent="0.3">
      <c r="H23" s="116"/>
      <c r="I23" s="119"/>
      <c r="J23" s="119"/>
      <c r="K23" s="119"/>
      <c r="L23" s="119"/>
      <c r="M23" s="119"/>
      <c r="N23" s="119"/>
      <c r="O23" s="119"/>
      <c r="P23" s="118"/>
    </row>
    <row r="24" spans="8:16" ht="20.100000000000001" customHeight="1" x14ac:dyDescent="0.25">
      <c r="H24" s="116"/>
      <c r="I24" s="139" t="s">
        <v>33</v>
      </c>
      <c r="J24" s="119"/>
      <c r="K24" s="139" t="s">
        <v>52</v>
      </c>
      <c r="L24" s="119"/>
      <c r="M24" s="139" t="s">
        <v>53</v>
      </c>
      <c r="N24" s="119"/>
      <c r="O24" s="139" t="s">
        <v>29</v>
      </c>
      <c r="P24" s="118"/>
    </row>
    <row r="25" spans="8:16" ht="20.100000000000001" customHeight="1" thickBot="1" x14ac:dyDescent="0.3">
      <c r="H25" s="116"/>
      <c r="I25" s="120" t="str">
        <f>'GRUPO B'!H10</f>
        <v>SURTIYA</v>
      </c>
      <c r="J25" s="119"/>
      <c r="K25" s="120" t="str">
        <f>'GRUPO C'!H10</f>
        <v>MARQUESINAS MANIZALES</v>
      </c>
      <c r="L25" s="119"/>
      <c r="M25" s="121" t="str">
        <f>'GRUPO D'!H10</f>
        <v>SALAMINA F.C</v>
      </c>
      <c r="N25" s="119"/>
      <c r="O25" s="121" t="str">
        <f>'GRUPO A'!H10</f>
        <v>RADAR TOPOGRAFIA</v>
      </c>
      <c r="P25" s="118"/>
    </row>
    <row r="26" spans="8:16" ht="20.100000000000001" customHeight="1" thickBot="1" x14ac:dyDescent="0.3">
      <c r="H26" s="116"/>
      <c r="I26" s="119"/>
      <c r="J26" s="119"/>
      <c r="K26" s="119"/>
      <c r="L26" s="119"/>
      <c r="M26" s="119"/>
      <c r="N26" s="119"/>
      <c r="O26" s="119"/>
      <c r="P26" s="118"/>
    </row>
    <row r="27" spans="8:16" ht="20.100000000000001" customHeight="1" x14ac:dyDescent="0.25">
      <c r="H27" s="116"/>
      <c r="I27" s="139" t="s">
        <v>54</v>
      </c>
      <c r="J27" s="119"/>
      <c r="K27" s="139" t="s">
        <v>55</v>
      </c>
      <c r="L27" s="119"/>
      <c r="M27" s="139" t="s">
        <v>34</v>
      </c>
      <c r="N27" s="119"/>
      <c r="O27" s="139" t="s">
        <v>30</v>
      </c>
      <c r="P27" s="118"/>
    </row>
    <row r="28" spans="8:16" ht="20.100000000000001" customHeight="1" thickBot="1" x14ac:dyDescent="0.3">
      <c r="H28" s="116"/>
      <c r="I28" s="121" t="str">
        <f>'GRUPO C'!H12</f>
        <v xml:space="preserve"> </v>
      </c>
      <c r="J28" s="119"/>
      <c r="K28" s="121" t="str">
        <f>'GRUPO D'!H12</f>
        <v>ANCESTRAL S.J</v>
      </c>
      <c r="L28" s="119"/>
      <c r="M28" s="121" t="str">
        <f>'GRUPO A'!H12</f>
        <v>WESTHAM</v>
      </c>
      <c r="N28" s="119"/>
      <c r="O28" s="120" t="str">
        <f>'GRUPO B'!H12</f>
        <v>CUCOS F.C</v>
      </c>
      <c r="P28" s="118"/>
    </row>
    <row r="29" spans="8:16" ht="20.100000000000001" customHeight="1" thickBot="1" x14ac:dyDescent="0.3">
      <c r="H29" s="116"/>
      <c r="I29" s="119"/>
      <c r="J29" s="119"/>
      <c r="K29" s="119"/>
      <c r="L29" s="119"/>
      <c r="M29" s="119"/>
      <c r="N29" s="119"/>
      <c r="O29" s="119"/>
      <c r="P29" s="118"/>
    </row>
    <row r="30" spans="8:16" ht="20.100000000000001" customHeight="1" x14ac:dyDescent="0.25">
      <c r="H30" s="116"/>
      <c r="I30" s="139" t="s">
        <v>56</v>
      </c>
      <c r="J30" s="119"/>
      <c r="K30" s="139" t="s">
        <v>31</v>
      </c>
      <c r="L30" s="119"/>
      <c r="M30" s="139" t="s">
        <v>35</v>
      </c>
      <c r="N30" s="119"/>
      <c r="O30" s="139" t="s">
        <v>57</v>
      </c>
      <c r="P30" s="118"/>
    </row>
    <row r="31" spans="8:16" ht="20.100000000000001" customHeight="1" thickBot="1" x14ac:dyDescent="0.3">
      <c r="H31" s="116"/>
      <c r="I31" s="121" t="str">
        <f>'GRUPO D'!H14</f>
        <v xml:space="preserve"> </v>
      </c>
      <c r="J31" s="119"/>
      <c r="K31" s="121" t="str">
        <f>'GRUPO A'!H14</f>
        <v xml:space="preserve"> </v>
      </c>
      <c r="L31" s="119"/>
      <c r="M31" s="120" t="str">
        <f>'GRUPO B'!H14</f>
        <v xml:space="preserve"> </v>
      </c>
      <c r="N31" s="119"/>
      <c r="O31" s="121" t="str">
        <f>'GRUPO C'!H14</f>
        <v xml:space="preserve"> </v>
      </c>
      <c r="P31" s="118"/>
    </row>
    <row r="32" spans="8:16" ht="9.9499999999999993" customHeight="1" thickBot="1" x14ac:dyDescent="0.3">
      <c r="H32" s="125"/>
      <c r="I32" s="126"/>
      <c r="J32" s="126"/>
      <c r="K32" s="126"/>
      <c r="L32" s="126"/>
      <c r="M32" s="126"/>
      <c r="N32" s="126"/>
      <c r="O32" s="126"/>
      <c r="P32" s="127"/>
    </row>
    <row r="33" ht="9.9499999999999993" customHeight="1" x14ac:dyDescent="0.25"/>
  </sheetData>
  <sheetProtection algorithmName="SHA-512" hashValue="9OiBnlrNqkIcdP4SjjYCV6ir4pr6AlbK03SIJ6Z3lCdtPmA7EMmQsa5BqPs/ZUh3BteVNH/vUKkuYNJiOTkULQ==" saltValue="MLi5dvn8T5BU+9HaX2jfOw==" spinCount="100000" sheet="1" objects="1" scenarios="1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ACTUALIZAR_CUADRANGULARES">
                <anchor moveWithCells="1" sizeWithCells="1">
                  <from>
                    <xdr:col>17</xdr:col>
                    <xdr:colOff>552450</xdr:colOff>
                    <xdr:row>10</xdr:row>
                    <xdr:rowOff>0</xdr:rowOff>
                  </from>
                  <to>
                    <xdr:col>19</xdr:col>
                    <xdr:colOff>390525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BAB3D-3274-4A9D-B953-1D36CF7CF2DA}">
  <sheetPr codeName="Hoja28"/>
  <dimension ref="A3:X8"/>
  <sheetViews>
    <sheetView showGridLines="0" zoomScale="90" zoomScaleNormal="90" workbookViewId="0"/>
  </sheetViews>
  <sheetFormatPr baseColWidth="10" defaultRowHeight="15" x14ac:dyDescent="0.25"/>
  <cols>
    <col min="1" max="2" width="11.42578125" style="96"/>
    <col min="3" max="3" width="3.28515625" style="96" customWidth="1"/>
    <col min="4" max="4" width="30.7109375" style="96" customWidth="1"/>
    <col min="5" max="5" width="10.7109375" style="96" customWidth="1"/>
    <col min="6" max="7" width="5.7109375" style="96" customWidth="1"/>
    <col min="8" max="8" width="11.42578125" style="96" hidden="1" customWidth="1"/>
    <col min="9" max="10" width="10.7109375" style="96" customWidth="1"/>
    <col min="11" max="12" width="5.7109375" style="96" customWidth="1"/>
    <col min="13" max="13" width="11.42578125" style="96" hidden="1" customWidth="1"/>
    <col min="14" max="15" width="10.7109375" style="96" customWidth="1"/>
    <col min="16" max="17" width="5.7109375" style="96" customWidth="1"/>
    <col min="18" max="18" width="11.42578125" style="96" hidden="1" customWidth="1"/>
    <col min="19" max="20" width="10.7109375" style="96" customWidth="1"/>
    <col min="21" max="22" width="5.7109375" style="96" customWidth="1"/>
    <col min="23" max="23" width="11.42578125" style="96" hidden="1" customWidth="1"/>
    <col min="24" max="24" width="10.7109375" style="96" customWidth="1"/>
    <col min="25" max="25" width="5.7109375" style="96" customWidth="1"/>
    <col min="26" max="26" width="45.7109375" style="96" customWidth="1"/>
    <col min="27" max="27" width="4.28515625" style="96" bestFit="1" customWidth="1"/>
    <col min="28" max="28" width="5.140625" style="96" bestFit="1" customWidth="1"/>
    <col min="29" max="29" width="4.7109375" style="96" bestFit="1" customWidth="1"/>
    <col min="30" max="30" width="4.85546875" style="96" bestFit="1" customWidth="1"/>
    <col min="31" max="31" width="5" style="96" bestFit="1" customWidth="1"/>
    <col min="32" max="32" width="5.140625" style="96" bestFit="1" customWidth="1"/>
    <col min="33" max="33" width="5.42578125" style="96" bestFit="1" customWidth="1"/>
    <col min="34" max="34" width="7.140625" style="96" bestFit="1" customWidth="1"/>
    <col min="35" max="16384" width="11.42578125" style="96"/>
  </cols>
  <sheetData>
    <row r="3" spans="1:24" x14ac:dyDescent="0.25">
      <c r="C3" s="294" t="s">
        <v>37</v>
      </c>
      <c r="D3" s="296" t="s">
        <v>120</v>
      </c>
      <c r="E3" s="289" t="str">
        <f>D5</f>
        <v>DISTRIBUIDORA LA ESQUINA</v>
      </c>
      <c r="F3" s="290"/>
      <c r="G3" s="290"/>
      <c r="H3" s="290"/>
      <c r="I3" s="291"/>
      <c r="J3" s="289" t="str">
        <f>D6</f>
        <v>BODEGAS COLOMBIA</v>
      </c>
      <c r="K3" s="290"/>
      <c r="L3" s="290"/>
      <c r="M3" s="290"/>
      <c r="N3" s="291"/>
      <c r="O3" s="289" t="str">
        <f>D7</f>
        <v xml:space="preserve"> </v>
      </c>
      <c r="P3" s="290"/>
      <c r="Q3" s="290"/>
      <c r="R3" s="290"/>
      <c r="S3" s="291"/>
      <c r="T3" s="289" t="str">
        <f>D8</f>
        <v>RESTAURANTE LUNA CHINA - 200 COPAS</v>
      </c>
      <c r="U3" s="290"/>
      <c r="V3" s="290"/>
      <c r="W3" s="290"/>
      <c r="X3" s="291"/>
    </row>
    <row r="4" spans="1:24" x14ac:dyDescent="0.25">
      <c r="C4" s="295"/>
      <c r="D4" s="297"/>
      <c r="E4" s="129" t="s">
        <v>67</v>
      </c>
      <c r="F4" s="292" t="s">
        <v>69</v>
      </c>
      <c r="G4" s="293"/>
      <c r="H4" s="140"/>
      <c r="I4" s="130" t="s">
        <v>68</v>
      </c>
      <c r="J4" s="131" t="s">
        <v>67</v>
      </c>
      <c r="K4" s="292" t="s">
        <v>69</v>
      </c>
      <c r="L4" s="293"/>
      <c r="M4" s="140"/>
      <c r="N4" s="130" t="s">
        <v>68</v>
      </c>
      <c r="O4" s="131" t="s">
        <v>67</v>
      </c>
      <c r="P4" s="292" t="s">
        <v>69</v>
      </c>
      <c r="Q4" s="293"/>
      <c r="R4" s="140"/>
      <c r="S4" s="130" t="s">
        <v>68</v>
      </c>
      <c r="T4" s="131" t="s">
        <v>67</v>
      </c>
      <c r="U4" s="292" t="s">
        <v>69</v>
      </c>
      <c r="V4" s="293"/>
      <c r="W4" s="140"/>
      <c r="X4" s="130" t="s">
        <v>68</v>
      </c>
    </row>
    <row r="5" spans="1:24" x14ac:dyDescent="0.25">
      <c r="A5" s="298"/>
      <c r="B5" s="299"/>
      <c r="C5" s="111">
        <v>1</v>
      </c>
      <c r="D5" s="142" t="str">
        <f>CUADRANGULARES!I7</f>
        <v>DISTRIBUIDORA LA ESQUINA</v>
      </c>
      <c r="E5" s="300" t="s">
        <v>66</v>
      </c>
      <c r="F5" s="301"/>
      <c r="G5" s="301"/>
      <c r="H5" s="301"/>
      <c r="I5" s="302"/>
      <c r="J5" s="132" t="str">
        <f>IF(E6&lt;&gt;0,E6," ")</f>
        <v xml:space="preserve"> </v>
      </c>
      <c r="K5" s="133" t="str">
        <f>IF(E6&lt;&gt;0,G6, " ")</f>
        <v xml:space="preserve"> </v>
      </c>
      <c r="L5" s="133" t="str">
        <f>IF(E6&lt;&gt;0,F6," ")</f>
        <v xml:space="preserve"> </v>
      </c>
      <c r="M5" s="128" t="str">
        <f>IF(E6&lt;&gt;0,IF(K5&lt;L5,"3",IF(K5&gt;L5,"0","1")),"")</f>
        <v/>
      </c>
      <c r="N5" s="133" t="str">
        <f>IF(E6&lt;&gt;0,I6," ")</f>
        <v xml:space="preserve"> </v>
      </c>
      <c r="O5" s="132" t="str">
        <f>IF(E7&lt;&gt;0,E7," ")</f>
        <v xml:space="preserve"> </v>
      </c>
      <c r="P5" s="133" t="str">
        <f>IF(E7&lt;&gt;0,G7," ")</f>
        <v xml:space="preserve"> </v>
      </c>
      <c r="Q5" s="133" t="str">
        <f>IF(E7&lt;&gt;0,F7," ")</f>
        <v xml:space="preserve"> </v>
      </c>
      <c r="R5" s="128" t="str">
        <f>IF(E7&lt;&gt;0,IF(P5&lt;Q5,"3",IF(P5&gt;Q5,"0","1")),"")</f>
        <v/>
      </c>
      <c r="S5" s="133" t="str">
        <f>IF(E7&lt;&gt;0,I7," ")</f>
        <v xml:space="preserve"> </v>
      </c>
      <c r="T5" s="132" t="str">
        <f>IF(E8&lt;&gt;0,E8," ")</f>
        <v xml:space="preserve"> </v>
      </c>
      <c r="U5" s="133" t="str">
        <f>IF(E8&lt;&gt;0,G8," ")</f>
        <v xml:space="preserve"> </v>
      </c>
      <c r="V5" s="133" t="str">
        <f>IF(E8&lt;&gt;0,F8," ")</f>
        <v xml:space="preserve"> </v>
      </c>
      <c r="W5" s="128" t="str">
        <f>IF(E8&lt;&gt;0,IF(U5&lt;V5,"3",IF(U5&gt;V5,"0","1")),"")</f>
        <v/>
      </c>
      <c r="X5" s="134" t="str">
        <f>IF(E8&lt;&gt;0,I8," ")</f>
        <v xml:space="preserve"> </v>
      </c>
    </row>
    <row r="6" spans="1:24" x14ac:dyDescent="0.25">
      <c r="A6" s="298"/>
      <c r="B6" s="299"/>
      <c r="C6" s="111">
        <v>2</v>
      </c>
      <c r="D6" s="142" t="str">
        <f>CUADRANGULARES!I10</f>
        <v>BODEGAS COLOMBIA</v>
      </c>
      <c r="E6" s="93"/>
      <c r="F6" s="94"/>
      <c r="G6" s="94"/>
      <c r="H6" s="95" t="str">
        <f>IF(E6&lt;&gt;0,IF(F6&lt;G6,"3",IF(F6&gt;G6,"0","1")),"")</f>
        <v/>
      </c>
      <c r="I6" s="95"/>
      <c r="J6" s="300" t="s">
        <v>66</v>
      </c>
      <c r="K6" s="301"/>
      <c r="L6" s="301"/>
      <c r="M6" s="301"/>
      <c r="N6" s="302"/>
      <c r="O6" s="136" t="str">
        <f>IF(J7&lt;&gt;0,J7," ")</f>
        <v xml:space="preserve"> </v>
      </c>
      <c r="P6" s="134" t="str">
        <f>IF(J7&lt;&gt;0,L7," ")</f>
        <v xml:space="preserve"> </v>
      </c>
      <c r="Q6" s="137" t="str">
        <f>IF(J7&lt;&gt;0,K7," ")</f>
        <v xml:space="preserve"> </v>
      </c>
      <c r="R6" s="128" t="str">
        <f>IF(J7&lt;&gt;0,IF(P6&lt;Q6,"3",IF(P6&gt;Q6,"0","1")),"")</f>
        <v/>
      </c>
      <c r="S6" s="134" t="str">
        <f>IF(J7&lt;&gt;0,N7," ")</f>
        <v xml:space="preserve"> </v>
      </c>
      <c r="T6" s="136" t="str">
        <f>IF(J8&lt;&gt;0,J8," ")</f>
        <v xml:space="preserve"> </v>
      </c>
      <c r="U6" s="134" t="str">
        <f>IF(J8&lt;&gt;0,L8," ")</f>
        <v xml:space="preserve"> </v>
      </c>
      <c r="V6" s="137" t="str">
        <f>IF(J8&lt;&gt;0,K8," ")</f>
        <v xml:space="preserve"> </v>
      </c>
      <c r="W6" s="128" t="str">
        <f>IF(J8&lt;&gt;0,IF(U6&lt;V6,"3",IF(U6&gt;V6,"0","1")),"")</f>
        <v/>
      </c>
      <c r="X6" s="134" t="str">
        <f>IF(J8&lt;&gt;0,N8," ")</f>
        <v xml:space="preserve"> </v>
      </c>
    </row>
    <row r="7" spans="1:24" x14ac:dyDescent="0.25">
      <c r="A7" s="298"/>
      <c r="B7" s="299"/>
      <c r="C7" s="111">
        <v>3</v>
      </c>
      <c r="D7" s="142" t="str">
        <f>CUADRANGULARES!I13</f>
        <v xml:space="preserve"> </v>
      </c>
      <c r="E7" s="93"/>
      <c r="F7" s="94"/>
      <c r="G7" s="94"/>
      <c r="H7" s="95" t="str">
        <f t="shared" ref="H7:H8" si="0">IF(E7&lt;&gt;0,IF(F7&lt;G7,"3",IF(F7&gt;G7,"0","1")),"")</f>
        <v/>
      </c>
      <c r="I7" s="95"/>
      <c r="J7" s="93"/>
      <c r="K7" s="94"/>
      <c r="L7" s="94"/>
      <c r="M7" s="95" t="str">
        <f>IF(J7&lt;&gt;0,IF(K7&lt;L7,"3",IF(K7&gt;L7,"0","1")),"")</f>
        <v/>
      </c>
      <c r="N7" s="95"/>
      <c r="O7" s="300" t="s">
        <v>66</v>
      </c>
      <c r="P7" s="301"/>
      <c r="Q7" s="301"/>
      <c r="R7" s="301"/>
      <c r="S7" s="302"/>
      <c r="T7" s="136" t="str">
        <f>IF(O8&lt;&gt;0,O8," ")</f>
        <v xml:space="preserve"> </v>
      </c>
      <c r="U7" s="134" t="str">
        <f>IF(O8&lt;&gt;0,Q8," ")</f>
        <v xml:space="preserve"> </v>
      </c>
      <c r="V7" s="137" t="str">
        <f>IF(O8&lt;&gt;0,P8," ")</f>
        <v xml:space="preserve"> </v>
      </c>
      <c r="W7" s="128" t="str">
        <f>IF(O8&lt;&gt;0,IF(U7&lt;V7,"3",IF(U7&gt;V7,"0","1")),"")</f>
        <v/>
      </c>
      <c r="X7" s="134" t="str">
        <f>IF(O8&lt;&gt;0,S8," ")</f>
        <v xml:space="preserve"> </v>
      </c>
    </row>
    <row r="8" spans="1:24" x14ac:dyDescent="0.25">
      <c r="A8" s="298"/>
      <c r="B8" s="299"/>
      <c r="C8" s="111">
        <v>4</v>
      </c>
      <c r="D8" s="142" t="str">
        <f>CUADRANGULARES!I16</f>
        <v>RESTAURANTE LUNA CHINA - 200 COPAS</v>
      </c>
      <c r="E8" s="93"/>
      <c r="F8" s="94"/>
      <c r="G8" s="94"/>
      <c r="H8" s="95" t="str">
        <f t="shared" si="0"/>
        <v/>
      </c>
      <c r="I8" s="95"/>
      <c r="J8" s="93"/>
      <c r="K8" s="94"/>
      <c r="L8" s="94"/>
      <c r="M8" s="95" t="str">
        <f t="shared" ref="M8" si="1">IF(J8&lt;&gt;0,IF(K8&lt;L8,"3",IF(K8&gt;L8,"0","1")),"")</f>
        <v/>
      </c>
      <c r="N8" s="95"/>
      <c r="O8" s="93"/>
      <c r="P8" s="94"/>
      <c r="Q8" s="94"/>
      <c r="R8" s="95" t="str">
        <f>IF(O8&lt;&gt;0,IF(P8&lt;Q8,"3",IF(P8&gt;Q8,"0","1")),"")</f>
        <v/>
      </c>
      <c r="S8" s="95"/>
      <c r="T8" s="300" t="s">
        <v>66</v>
      </c>
      <c r="U8" s="301"/>
      <c r="V8" s="301"/>
      <c r="W8" s="301"/>
      <c r="X8" s="302"/>
    </row>
  </sheetData>
  <sheetProtection algorithmName="SHA-512" hashValue="hMUWwrzw/eWT0XUN+cURA3401VlAldVP0m54VPbDtlHWpRxRX6Gza3zfH0Vjg9ieiaz2+QuCzEe6vTWM/TXmQg==" saltValue="VayY2sd4zUf3ZxVrE4Eg5A==" spinCount="100000" sheet="1" formatCells="0" sort="0"/>
  <mergeCells count="18">
    <mergeCell ref="A5:B5"/>
    <mergeCell ref="A6:B6"/>
    <mergeCell ref="A7:B7"/>
    <mergeCell ref="A8:B8"/>
    <mergeCell ref="T8:X8"/>
    <mergeCell ref="O7:S7"/>
    <mergeCell ref="J6:N6"/>
    <mergeCell ref="E5:I5"/>
    <mergeCell ref="C3:C4"/>
    <mergeCell ref="D3:D4"/>
    <mergeCell ref="E3:I3"/>
    <mergeCell ref="J3:N3"/>
    <mergeCell ref="O3:S3"/>
    <mergeCell ref="T3:X3"/>
    <mergeCell ref="F4:G4"/>
    <mergeCell ref="K4:L4"/>
    <mergeCell ref="P4:Q4"/>
    <mergeCell ref="U4:V4"/>
  </mergeCells>
  <conditionalFormatting sqref="T7:V7 O6:Q6 E6:G6 E7:H8 I7:N7 I8:S8 J5:Q5 S5:V6 X5:X7 I6">
    <cfRule type="notContainsBlanks" dxfId="57" priority="5">
      <formula>LEN(TRIM(E5))&gt;0</formula>
    </cfRule>
  </conditionalFormatting>
  <conditionalFormatting sqref="J5:Q5 S5:U5">
    <cfRule type="notContainsBlanks" dxfId="56" priority="6">
      <formula>LEN(TRIM(J5))&gt;0</formula>
    </cfRule>
  </conditionalFormatting>
  <conditionalFormatting sqref="V5">
    <cfRule type="notContainsBlanks" dxfId="55" priority="4">
      <formula>LEN(TRIM(V5))&gt;0</formula>
    </cfRule>
  </conditionalFormatting>
  <conditionalFormatting sqref="R5:R6">
    <cfRule type="notContainsBlanks" dxfId="54" priority="3">
      <formula>LEN(TRIM(R5))&gt;0</formula>
    </cfRule>
  </conditionalFormatting>
  <conditionalFormatting sqref="W5:W7">
    <cfRule type="notContainsBlanks" dxfId="53" priority="2">
      <formula>LEN(TRIM(W5))&gt;0</formula>
    </cfRule>
  </conditionalFormatting>
  <conditionalFormatting sqref="H6">
    <cfRule type="notContainsBlanks" dxfId="52" priority="1">
      <formula>LEN(TRIM(H6))&gt;0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C2:L13"/>
  <sheetViews>
    <sheetView showGridLines="0" zoomScale="90" zoomScaleNormal="90" workbookViewId="0"/>
  </sheetViews>
  <sheetFormatPr baseColWidth="10" defaultRowHeight="15" x14ac:dyDescent="0.25"/>
  <cols>
    <col min="1" max="1" width="11.42578125" style="96"/>
    <col min="2" max="2" width="5.7109375" style="96" customWidth="1"/>
    <col min="3" max="3" width="4.7109375" style="96" customWidth="1"/>
    <col min="4" max="4" width="60.7109375" style="96" customWidth="1"/>
    <col min="5" max="10" width="5.7109375" style="96" customWidth="1"/>
    <col min="11" max="11" width="5.7109375" style="141" customWidth="1"/>
    <col min="12" max="12" width="7.7109375" style="96" customWidth="1"/>
    <col min="13" max="13" width="11.42578125" style="96"/>
    <col min="14" max="14" width="4.140625" style="96" bestFit="1" customWidth="1"/>
    <col min="15" max="15" width="45.7109375" style="96" customWidth="1"/>
    <col min="16" max="16" width="4.28515625" style="96" bestFit="1" customWidth="1"/>
    <col min="17" max="17" width="5.140625" style="96" bestFit="1" customWidth="1"/>
    <col min="18" max="18" width="4.7109375" style="96" bestFit="1" customWidth="1"/>
    <col min="19" max="19" width="4.85546875" style="96" bestFit="1" customWidth="1"/>
    <col min="20" max="20" width="5" style="96" bestFit="1" customWidth="1"/>
    <col min="21" max="21" width="5.140625" style="96" bestFit="1" customWidth="1"/>
    <col min="22" max="22" width="5.42578125" style="96" bestFit="1" customWidth="1"/>
    <col min="23" max="23" width="7.140625" style="96" bestFit="1" customWidth="1"/>
    <col min="24" max="16384" width="11.42578125" style="96"/>
  </cols>
  <sheetData>
    <row r="2" spans="3:12" ht="15.75" thickBot="1" x14ac:dyDescent="0.3"/>
    <row r="3" spans="3:12" ht="19.5" thickBot="1" x14ac:dyDescent="0.35">
      <c r="D3" s="303" t="s">
        <v>120</v>
      </c>
      <c r="E3" s="304"/>
      <c r="F3" s="304"/>
      <c r="G3" s="304"/>
      <c r="H3" s="304"/>
      <c r="I3" s="304"/>
      <c r="J3" s="304"/>
      <c r="K3" s="304"/>
      <c r="L3" s="305"/>
    </row>
    <row r="4" spans="3:12" ht="19.5" thickBot="1" x14ac:dyDescent="0.35">
      <c r="D4" s="105" t="s">
        <v>16</v>
      </c>
      <c r="E4" s="135" t="s">
        <v>19</v>
      </c>
      <c r="F4" s="135" t="s">
        <v>20</v>
      </c>
      <c r="G4" s="135" t="s">
        <v>21</v>
      </c>
      <c r="H4" s="135" t="s">
        <v>22</v>
      </c>
      <c r="I4" s="135" t="s">
        <v>23</v>
      </c>
      <c r="J4" s="135" t="s">
        <v>24</v>
      </c>
      <c r="K4" s="135" t="s">
        <v>25</v>
      </c>
      <c r="L4" s="135" t="s">
        <v>26</v>
      </c>
    </row>
    <row r="5" spans="3:12" ht="19.5" thickBot="1" x14ac:dyDescent="0.35">
      <c r="C5" s="99">
        <v>1</v>
      </c>
      <c r="D5" s="100" t="str">
        <f>'1'!D5</f>
        <v>DISTRIBUIDORA LA ESQUINA</v>
      </c>
      <c r="E5" s="100">
        <f>COUNTA('1'!E6:E8)</f>
        <v>0</v>
      </c>
      <c r="F5" s="100">
        <f>COUNTIF('1'!$H$5:$H$8,3)</f>
        <v>0</v>
      </c>
      <c r="G5" s="100">
        <f>COUNTIF('1'!$H$5:$H$8,1)</f>
        <v>0</v>
      </c>
      <c r="H5" s="100">
        <f>COUNTIF('1'!$H$5:$H$8,0)</f>
        <v>0</v>
      </c>
      <c r="I5" s="103">
        <f>SUM('1'!$G$5:$G$8)</f>
        <v>0</v>
      </c>
      <c r="J5" s="103">
        <f>SUM('1'!$F$5:$F$8)</f>
        <v>0</v>
      </c>
      <c r="K5" s="100">
        <f>I5-J5</f>
        <v>0</v>
      </c>
      <c r="L5" s="100">
        <f>(F5*3)+G5</f>
        <v>0</v>
      </c>
    </row>
    <row r="6" spans="3:12" ht="19.5" thickBot="1" x14ac:dyDescent="0.35">
      <c r="C6" s="105">
        <v>2</v>
      </c>
      <c r="D6" s="100" t="str">
        <f>'1'!D6</f>
        <v>BODEGAS COLOMBIA</v>
      </c>
      <c r="E6" s="100">
        <f>COUNTA('1'!E6,'1'!J7:J8)</f>
        <v>0</v>
      </c>
      <c r="F6" s="100">
        <f>COUNTIF('1'!$M$5:$M$8,3)</f>
        <v>0</v>
      </c>
      <c r="G6" s="100">
        <f>COUNTIF('1'!$M$5:$M$8,1)</f>
        <v>0</v>
      </c>
      <c r="H6" s="100">
        <f>COUNTIF('1'!$M$5:$M$8,0)</f>
        <v>0</v>
      </c>
      <c r="I6" s="103">
        <f>SUM('1'!$L$5:$L$8)</f>
        <v>0</v>
      </c>
      <c r="J6" s="103">
        <f>SUM('1'!$K$5:$K$8)</f>
        <v>0</v>
      </c>
      <c r="K6" s="100">
        <f>I6-J6</f>
        <v>0</v>
      </c>
      <c r="L6" s="100">
        <f>(F6*3)+G6</f>
        <v>0</v>
      </c>
    </row>
    <row r="7" spans="3:12" ht="19.5" thickBot="1" x14ac:dyDescent="0.35">
      <c r="C7" s="99">
        <v>3</v>
      </c>
      <c r="D7" s="100" t="str">
        <f>'1'!D7</f>
        <v xml:space="preserve"> </v>
      </c>
      <c r="E7" s="100">
        <f>COUNTA('1'!E7,'1'!J7,'1'!O8)</f>
        <v>0</v>
      </c>
      <c r="F7" s="100">
        <f>COUNTIF('1'!$R$5:$R$8,3)</f>
        <v>0</v>
      </c>
      <c r="G7" s="100">
        <f>COUNTIF('1'!$R$5:$R$8,1)</f>
        <v>0</v>
      </c>
      <c r="H7" s="100">
        <f>COUNTIF('1'!$R$5:$R$8,0)</f>
        <v>0</v>
      </c>
      <c r="I7" s="103">
        <f>SUM('1'!$Q$5:$Q$8)</f>
        <v>0</v>
      </c>
      <c r="J7" s="103">
        <f>SUM('1'!$P$5:$P$8)</f>
        <v>0</v>
      </c>
      <c r="K7" s="100">
        <f>I7-J7</f>
        <v>0</v>
      </c>
      <c r="L7" s="100">
        <f>(F7*3)+G7</f>
        <v>0</v>
      </c>
    </row>
    <row r="8" spans="3:12" ht="19.5" thickBot="1" x14ac:dyDescent="0.35">
      <c r="C8" s="105">
        <v>4</v>
      </c>
      <c r="D8" s="100" t="str">
        <f>'1'!D8</f>
        <v>RESTAURANTE LUNA CHINA - 200 COPAS</v>
      </c>
      <c r="E8" s="100">
        <f>COUNTA('1'!E8,'1'!J8,'1'!O8)</f>
        <v>0</v>
      </c>
      <c r="F8" s="100">
        <f>COUNTIF('1'!$W$5:$W$8,3)</f>
        <v>0</v>
      </c>
      <c r="G8" s="100">
        <f>COUNTIF('1'!$W$5:$W$8,1)</f>
        <v>0</v>
      </c>
      <c r="H8" s="100">
        <f>COUNTIF('1'!$W$5:$W$8,0)</f>
        <v>0</v>
      </c>
      <c r="I8" s="103">
        <f>SUM('1'!$V$5:$V$8)</f>
        <v>0</v>
      </c>
      <c r="J8" s="103">
        <f>SUM('1'!$U$5:$U$8)</f>
        <v>0</v>
      </c>
      <c r="K8" s="100">
        <f>I8-J8</f>
        <v>0</v>
      </c>
      <c r="L8" s="100">
        <f>(F8*3)+G8</f>
        <v>0</v>
      </c>
    </row>
    <row r="9" spans="3:12" x14ac:dyDescent="0.25">
      <c r="E9" s="96">
        <f>SUM(E5:E8)/2</f>
        <v>0</v>
      </c>
      <c r="F9" s="96">
        <f>SUM(F5:F8)</f>
        <v>0</v>
      </c>
      <c r="G9" s="96">
        <f>SUM(G5:G8)/2</f>
        <v>0</v>
      </c>
      <c r="H9" s="96">
        <f>SUM(H5:H8)</f>
        <v>0</v>
      </c>
      <c r="I9" s="96">
        <f>SUM(I5:I8)</f>
        <v>0</v>
      </c>
      <c r="J9" s="96">
        <f>SUM(J5:J8)</f>
        <v>0</v>
      </c>
    </row>
    <row r="11" spans="3:12" ht="18.75" x14ac:dyDescent="0.3">
      <c r="D11" s="306"/>
      <c r="E11" s="306"/>
      <c r="F11" s="306"/>
      <c r="G11" s="306"/>
      <c r="H11" s="306"/>
      <c r="I11" s="306"/>
      <c r="J11" s="306"/>
      <c r="K11" s="306"/>
      <c r="L11" s="306"/>
    </row>
    <row r="13" spans="3:12" x14ac:dyDescent="0.25">
      <c r="D13" s="307"/>
      <c r="E13" s="307"/>
      <c r="F13" s="307"/>
      <c r="G13" s="307"/>
      <c r="H13" s="307"/>
      <c r="I13" s="307"/>
      <c r="J13" s="307"/>
      <c r="K13" s="307"/>
      <c r="L13" s="307"/>
    </row>
  </sheetData>
  <sheetProtection algorithmName="SHA-512" hashValue="bp7yaTCgYRBVLjC9fFMpXOuVRsChPv/0iSFitMTtX0yjG/7GQNwFgz1YZVBlLHgyjt8cF0U5SMxlSKmFboEpqA==" saltValue="QIAGo/i5Lytr0PjpAPTY0A==" spinCount="100000" sheet="1" sort="0"/>
  <sortState ref="D5:L8">
    <sortCondition descending="1" ref="L5:L8"/>
    <sortCondition descending="1" ref="K5:K8"/>
    <sortCondition ref="E5:E8"/>
    <sortCondition descending="1" ref="I5:I8"/>
    <sortCondition ref="J5:J8"/>
  </sortState>
  <mergeCells count="3">
    <mergeCell ref="D3:L3"/>
    <mergeCell ref="D11:L11"/>
    <mergeCell ref="D13:L1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4F8E-279A-4E27-8ECE-ACB7E5E49178}">
  <sheetPr codeName="Hoja29"/>
  <dimension ref="A3:X8"/>
  <sheetViews>
    <sheetView showGridLines="0" zoomScale="90" zoomScaleNormal="90" workbookViewId="0"/>
  </sheetViews>
  <sheetFormatPr baseColWidth="10" defaultRowHeight="15" x14ac:dyDescent="0.25"/>
  <cols>
    <col min="1" max="2" width="11.42578125" style="96"/>
    <col min="3" max="3" width="3.28515625" style="96" customWidth="1"/>
    <col min="4" max="4" width="30.7109375" style="96" customWidth="1"/>
    <col min="5" max="5" width="10.7109375" style="96" customWidth="1"/>
    <col min="6" max="7" width="5.7109375" style="96" customWidth="1"/>
    <col min="8" max="8" width="11.42578125" style="96" hidden="1" customWidth="1"/>
    <col min="9" max="10" width="10.7109375" style="96" customWidth="1"/>
    <col min="11" max="12" width="5.7109375" style="96" customWidth="1"/>
    <col min="13" max="13" width="11.42578125" style="96" hidden="1" customWidth="1"/>
    <col min="14" max="15" width="10.7109375" style="96" customWidth="1"/>
    <col min="16" max="17" width="5.7109375" style="96" customWidth="1"/>
    <col min="18" max="18" width="11.42578125" style="96" hidden="1" customWidth="1"/>
    <col min="19" max="20" width="10.7109375" style="96" customWidth="1"/>
    <col min="21" max="22" width="5.7109375" style="96" customWidth="1"/>
    <col min="23" max="23" width="11.42578125" style="96" hidden="1" customWidth="1"/>
    <col min="24" max="24" width="10.7109375" style="96" customWidth="1"/>
    <col min="25" max="25" width="5.7109375" style="96" customWidth="1"/>
    <col min="26" max="26" width="45.7109375" style="96" customWidth="1"/>
    <col min="27" max="27" width="4.28515625" style="96" bestFit="1" customWidth="1"/>
    <col min="28" max="28" width="5.140625" style="96" bestFit="1" customWidth="1"/>
    <col min="29" max="29" width="4.7109375" style="96" bestFit="1" customWidth="1"/>
    <col min="30" max="30" width="4.85546875" style="96" bestFit="1" customWidth="1"/>
    <col min="31" max="31" width="5" style="96" bestFit="1" customWidth="1"/>
    <col min="32" max="32" width="5.140625" style="96" bestFit="1" customWidth="1"/>
    <col min="33" max="33" width="5.42578125" style="96" bestFit="1" customWidth="1"/>
    <col min="34" max="34" width="7.140625" style="96" bestFit="1" customWidth="1"/>
    <col min="35" max="16384" width="11.42578125" style="96"/>
  </cols>
  <sheetData>
    <row r="3" spans="1:24" x14ac:dyDescent="0.25">
      <c r="C3" s="294" t="s">
        <v>37</v>
      </c>
      <c r="D3" s="296" t="s">
        <v>121</v>
      </c>
      <c r="E3" s="289" t="str">
        <f>D5</f>
        <v>ABC JURIDICAS S.A.S ( B )</v>
      </c>
      <c r="F3" s="290"/>
      <c r="G3" s="290"/>
      <c r="H3" s="290"/>
      <c r="I3" s="291"/>
      <c r="J3" s="289" t="str">
        <f>D6</f>
        <v>LOS PRIMOS</v>
      </c>
      <c r="K3" s="290"/>
      <c r="L3" s="290"/>
      <c r="M3" s="290"/>
      <c r="N3" s="291"/>
      <c r="O3" s="289" t="str">
        <f>D7</f>
        <v>INTER CLUB</v>
      </c>
      <c r="P3" s="290"/>
      <c r="Q3" s="290"/>
      <c r="R3" s="290"/>
      <c r="S3" s="291"/>
      <c r="T3" s="289" t="str">
        <f>D8</f>
        <v xml:space="preserve"> </v>
      </c>
      <c r="U3" s="290"/>
      <c r="V3" s="290"/>
      <c r="W3" s="290"/>
      <c r="X3" s="291"/>
    </row>
    <row r="4" spans="1:24" x14ac:dyDescent="0.25">
      <c r="C4" s="295"/>
      <c r="D4" s="297"/>
      <c r="E4" s="129" t="s">
        <v>67</v>
      </c>
      <c r="F4" s="292" t="s">
        <v>69</v>
      </c>
      <c r="G4" s="293"/>
      <c r="H4" s="140"/>
      <c r="I4" s="130" t="s">
        <v>68</v>
      </c>
      <c r="J4" s="131" t="s">
        <v>67</v>
      </c>
      <c r="K4" s="292" t="s">
        <v>69</v>
      </c>
      <c r="L4" s="293"/>
      <c r="M4" s="140"/>
      <c r="N4" s="130" t="s">
        <v>68</v>
      </c>
      <c r="O4" s="131" t="s">
        <v>67</v>
      </c>
      <c r="P4" s="292" t="s">
        <v>69</v>
      </c>
      <c r="Q4" s="293"/>
      <c r="R4" s="140"/>
      <c r="S4" s="130" t="s">
        <v>68</v>
      </c>
      <c r="T4" s="131" t="s">
        <v>67</v>
      </c>
      <c r="U4" s="292" t="s">
        <v>69</v>
      </c>
      <c r="V4" s="293"/>
      <c r="W4" s="140"/>
      <c r="X4" s="130" t="s">
        <v>68</v>
      </c>
    </row>
    <row r="5" spans="1:24" x14ac:dyDescent="0.25">
      <c r="A5" s="298"/>
      <c r="B5" s="299"/>
      <c r="C5" s="111">
        <v>1</v>
      </c>
      <c r="D5" s="142" t="str">
        <f>CUADRANGULARES!K7</f>
        <v>ABC JURIDICAS S.A.S ( B )</v>
      </c>
      <c r="E5" s="300" t="s">
        <v>66</v>
      </c>
      <c r="F5" s="301"/>
      <c r="G5" s="301"/>
      <c r="H5" s="301"/>
      <c r="I5" s="302"/>
      <c r="J5" s="132" t="str">
        <f>IF(E6&lt;&gt;0,E6," ")</f>
        <v xml:space="preserve"> </v>
      </c>
      <c r="K5" s="133" t="str">
        <f>IF(E6&lt;&gt;0,G6, " ")</f>
        <v xml:space="preserve"> </v>
      </c>
      <c r="L5" s="133" t="str">
        <f>IF(E6&lt;&gt;0,F6," ")</f>
        <v xml:space="preserve"> </v>
      </c>
      <c r="M5" s="128" t="str">
        <f>IF(E6&lt;&gt;0,IF(K5&lt;L5,"3",IF(K5&gt;L5,"0","1")),"")</f>
        <v/>
      </c>
      <c r="N5" s="133" t="str">
        <f>IF(E6&lt;&gt;0,I6," ")</f>
        <v xml:space="preserve"> </v>
      </c>
      <c r="O5" s="132" t="str">
        <f>IF(E7&lt;&gt;0,E7," ")</f>
        <v xml:space="preserve"> </v>
      </c>
      <c r="P5" s="133" t="str">
        <f>IF(E7&lt;&gt;0,G7," ")</f>
        <v xml:space="preserve"> </v>
      </c>
      <c r="Q5" s="133" t="str">
        <f>IF(E7&lt;&gt;0,F7," ")</f>
        <v xml:space="preserve"> </v>
      </c>
      <c r="R5" s="128" t="str">
        <f>IF(E7&lt;&gt;0,IF(P5&lt;Q5,"3",IF(P5&gt;Q5,"0","1")),"")</f>
        <v/>
      </c>
      <c r="S5" s="133" t="str">
        <f>IF(E7&lt;&gt;0,I7," ")</f>
        <v xml:space="preserve"> </v>
      </c>
      <c r="T5" s="132" t="str">
        <f>IF(E8&lt;&gt;0,E8," ")</f>
        <v xml:space="preserve"> </v>
      </c>
      <c r="U5" s="133" t="str">
        <f>IF(E8&lt;&gt;0,G8," ")</f>
        <v xml:space="preserve"> </v>
      </c>
      <c r="V5" s="133" t="str">
        <f>IF(E8&lt;&gt;0,F8," ")</f>
        <v xml:space="preserve"> </v>
      </c>
      <c r="W5" s="128" t="str">
        <f>IF(E8&lt;&gt;0,IF(U5&lt;V5,"3",IF(U5&gt;V5,"0","1")),"")</f>
        <v/>
      </c>
      <c r="X5" s="134" t="str">
        <f>IF(E8&lt;&gt;0,I8," ")</f>
        <v xml:space="preserve"> </v>
      </c>
    </row>
    <row r="6" spans="1:24" x14ac:dyDescent="0.25">
      <c r="A6" s="298"/>
      <c r="B6" s="299"/>
      <c r="C6" s="111">
        <v>2</v>
      </c>
      <c r="D6" s="142" t="str">
        <f>CUADRANGULARES!K10</f>
        <v>LOS PRIMOS</v>
      </c>
      <c r="E6" s="93"/>
      <c r="F6" s="94"/>
      <c r="G6" s="94"/>
      <c r="H6" s="95" t="str">
        <f>IF(E6&lt;&gt;0,IF(F6&lt;G6,"3",IF(F6&gt;G6,"0","1")),"")</f>
        <v/>
      </c>
      <c r="I6" s="95"/>
      <c r="J6" s="300" t="s">
        <v>66</v>
      </c>
      <c r="K6" s="301"/>
      <c r="L6" s="301"/>
      <c r="M6" s="301"/>
      <c r="N6" s="302"/>
      <c r="O6" s="136" t="str">
        <f>IF(J7&lt;&gt;0,J7," ")</f>
        <v xml:space="preserve"> </v>
      </c>
      <c r="P6" s="134" t="str">
        <f>IF(J7&lt;&gt;0,L7," ")</f>
        <v xml:space="preserve"> </v>
      </c>
      <c r="Q6" s="137" t="str">
        <f>IF(J7&lt;&gt;0,K7," ")</f>
        <v xml:space="preserve"> </v>
      </c>
      <c r="R6" s="128" t="str">
        <f>IF(J7&lt;&gt;0,IF(P6&lt;Q6,"3",IF(P6&gt;Q6,"0","1")),"")</f>
        <v/>
      </c>
      <c r="S6" s="134" t="str">
        <f>IF(J7&lt;&gt;0,N7," ")</f>
        <v xml:space="preserve"> </v>
      </c>
      <c r="T6" s="136" t="str">
        <f>IF(J8&lt;&gt;0,J8," ")</f>
        <v xml:space="preserve"> </v>
      </c>
      <c r="U6" s="134" t="str">
        <f>IF(J8&lt;&gt;0,L8," ")</f>
        <v xml:space="preserve"> </v>
      </c>
      <c r="V6" s="137" t="str">
        <f>IF(J8&lt;&gt;0,K8," ")</f>
        <v xml:space="preserve"> </v>
      </c>
      <c r="W6" s="128" t="str">
        <f>IF(J8&lt;&gt;0,IF(U6&lt;V6,"3",IF(U6&gt;V6,"0","1")),"")</f>
        <v/>
      </c>
      <c r="X6" s="134" t="str">
        <f>IF(J8&lt;&gt;0,N8," ")</f>
        <v xml:space="preserve"> </v>
      </c>
    </row>
    <row r="7" spans="1:24" x14ac:dyDescent="0.25">
      <c r="A7" s="298"/>
      <c r="B7" s="299"/>
      <c r="C7" s="111">
        <v>3</v>
      </c>
      <c r="D7" s="142" t="str">
        <f>CUADRANGULARES!K13</f>
        <v>INTER CLUB</v>
      </c>
      <c r="E7" s="93"/>
      <c r="F7" s="94"/>
      <c r="G7" s="94"/>
      <c r="H7" s="95" t="str">
        <f t="shared" ref="H7:H8" si="0">IF(E7&lt;&gt;0,IF(F7&lt;G7,"3",IF(F7&gt;G7,"0","1")),"")</f>
        <v/>
      </c>
      <c r="I7" s="95"/>
      <c r="J7" s="93"/>
      <c r="K7" s="94"/>
      <c r="L7" s="94"/>
      <c r="M7" s="95" t="str">
        <f>IF(J7&lt;&gt;0,IF(K7&lt;L7,"3",IF(K7&gt;L7,"0","1")),"")</f>
        <v/>
      </c>
      <c r="N7" s="95"/>
      <c r="O7" s="300" t="s">
        <v>66</v>
      </c>
      <c r="P7" s="301"/>
      <c r="Q7" s="301"/>
      <c r="R7" s="301"/>
      <c r="S7" s="302"/>
      <c r="T7" s="136" t="str">
        <f>IF(O8&lt;&gt;0,O8," ")</f>
        <v xml:space="preserve"> </v>
      </c>
      <c r="U7" s="134" t="str">
        <f>IF(O8&lt;&gt;0,Q8," ")</f>
        <v xml:space="preserve"> </v>
      </c>
      <c r="V7" s="137" t="str">
        <f>IF(O8&lt;&gt;0,P8," ")</f>
        <v xml:space="preserve"> </v>
      </c>
      <c r="W7" s="128" t="str">
        <f>IF(O8&lt;&gt;0,IF(U7&lt;V7,"3",IF(U7&gt;V7,"0","1")),"")</f>
        <v/>
      </c>
      <c r="X7" s="134" t="str">
        <f>IF(O8&lt;&gt;0,S8," ")</f>
        <v xml:space="preserve"> </v>
      </c>
    </row>
    <row r="8" spans="1:24" x14ac:dyDescent="0.25">
      <c r="A8" s="298"/>
      <c r="B8" s="299"/>
      <c r="C8" s="111">
        <v>4</v>
      </c>
      <c r="D8" s="142" t="str">
        <f>CUADRANGULARES!K16</f>
        <v xml:space="preserve"> </v>
      </c>
      <c r="E8" s="93"/>
      <c r="F8" s="94"/>
      <c r="G8" s="94"/>
      <c r="H8" s="95" t="str">
        <f t="shared" si="0"/>
        <v/>
      </c>
      <c r="I8" s="95"/>
      <c r="J8" s="93"/>
      <c r="K8" s="94"/>
      <c r="L8" s="94"/>
      <c r="M8" s="95" t="str">
        <f t="shared" ref="M8" si="1">IF(J8&lt;&gt;0,IF(K8&lt;L8,"3",IF(K8&gt;L8,"0","1")),"")</f>
        <v/>
      </c>
      <c r="N8" s="95"/>
      <c r="O8" s="93"/>
      <c r="P8" s="94"/>
      <c r="Q8" s="94"/>
      <c r="R8" s="95" t="str">
        <f>IF(O8&lt;&gt;0,IF(P8&lt;Q8,"3",IF(P8&gt;Q8,"0","1")),"")</f>
        <v/>
      </c>
      <c r="S8" s="95"/>
      <c r="T8" s="300" t="s">
        <v>66</v>
      </c>
      <c r="U8" s="301"/>
      <c r="V8" s="301"/>
      <c r="W8" s="301"/>
      <c r="X8" s="302"/>
    </row>
  </sheetData>
  <sheetProtection algorithmName="SHA-512" hashValue="rOPrzufoAYjW87Hdasaq3Uj2Gzh1BwzT08rmSiJryPL7xpYu24WAivf+JsclILlj501ksi4QCPJ7iVUhi38ENw==" saltValue="bACgKX9WJV4UShaa0+GfWA==" spinCount="100000" sheet="1" formatCells="0" sort="0"/>
  <mergeCells count="18">
    <mergeCell ref="A5:B5"/>
    <mergeCell ref="A6:B6"/>
    <mergeCell ref="A7:B7"/>
    <mergeCell ref="A8:B8"/>
    <mergeCell ref="E5:I5"/>
    <mergeCell ref="J6:N6"/>
    <mergeCell ref="O7:S7"/>
    <mergeCell ref="T8:X8"/>
    <mergeCell ref="C3:C4"/>
    <mergeCell ref="D3:D4"/>
    <mergeCell ref="E3:I3"/>
    <mergeCell ref="J3:N3"/>
    <mergeCell ref="O3:S3"/>
    <mergeCell ref="T3:X3"/>
    <mergeCell ref="F4:G4"/>
    <mergeCell ref="K4:L4"/>
    <mergeCell ref="P4:Q4"/>
    <mergeCell ref="U4:V4"/>
  </mergeCells>
  <conditionalFormatting sqref="T7:V7 O6:Q6 E6:G6 E7:H8 I7:N7 I8:S8 J5:Q5 S5:V6 X5:X7 I6">
    <cfRule type="notContainsBlanks" dxfId="51" priority="5">
      <formula>LEN(TRIM(E5))&gt;0</formula>
    </cfRule>
  </conditionalFormatting>
  <conditionalFormatting sqref="J5:Q5 S5:U5">
    <cfRule type="notContainsBlanks" dxfId="50" priority="6">
      <formula>LEN(TRIM(J5))&gt;0</formula>
    </cfRule>
  </conditionalFormatting>
  <conditionalFormatting sqref="V5">
    <cfRule type="notContainsBlanks" dxfId="49" priority="4">
      <formula>LEN(TRIM(V5))&gt;0</formula>
    </cfRule>
  </conditionalFormatting>
  <conditionalFormatting sqref="R5:R6">
    <cfRule type="notContainsBlanks" dxfId="48" priority="3">
      <formula>LEN(TRIM(R5))&gt;0</formula>
    </cfRule>
  </conditionalFormatting>
  <conditionalFormatting sqref="W5:W7">
    <cfRule type="notContainsBlanks" dxfId="47" priority="2">
      <formula>LEN(TRIM(W5))&gt;0</formula>
    </cfRule>
  </conditionalFormatting>
  <conditionalFormatting sqref="H6">
    <cfRule type="notContainsBlanks" dxfId="46" priority="1">
      <formula>LEN(TRIM(H6))&gt;0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DF364-9771-4384-9F92-2AC83FB7FBEF}">
  <sheetPr codeName="Hoja13"/>
  <dimension ref="C2:L13"/>
  <sheetViews>
    <sheetView showGridLines="0" zoomScale="90" zoomScaleNormal="90" workbookViewId="0"/>
  </sheetViews>
  <sheetFormatPr baseColWidth="10" defaultRowHeight="15" x14ac:dyDescent="0.25"/>
  <cols>
    <col min="1" max="1" width="11.42578125" style="96"/>
    <col min="2" max="2" width="5.7109375" style="96" customWidth="1"/>
    <col min="3" max="3" width="4.7109375" style="96" customWidth="1"/>
    <col min="4" max="4" width="60.7109375" style="96" customWidth="1"/>
    <col min="5" max="10" width="5.7109375" style="96" customWidth="1"/>
    <col min="11" max="11" width="5.7109375" style="141" customWidth="1"/>
    <col min="12" max="12" width="7.7109375" style="96" customWidth="1"/>
    <col min="13" max="13" width="11.42578125" style="96"/>
    <col min="14" max="14" width="4.140625" style="96" bestFit="1" customWidth="1"/>
    <col min="15" max="15" width="45.7109375" style="96" customWidth="1"/>
    <col min="16" max="16" width="4.28515625" style="96" bestFit="1" customWidth="1"/>
    <col min="17" max="17" width="5.140625" style="96" bestFit="1" customWidth="1"/>
    <col min="18" max="18" width="4.7109375" style="96" bestFit="1" customWidth="1"/>
    <col min="19" max="19" width="4.85546875" style="96" bestFit="1" customWidth="1"/>
    <col min="20" max="20" width="5" style="96" bestFit="1" customWidth="1"/>
    <col min="21" max="21" width="5.140625" style="96" bestFit="1" customWidth="1"/>
    <col min="22" max="22" width="5.42578125" style="96" bestFit="1" customWidth="1"/>
    <col min="23" max="23" width="7.140625" style="96" bestFit="1" customWidth="1"/>
    <col min="24" max="16384" width="11.42578125" style="96"/>
  </cols>
  <sheetData>
    <row r="2" spans="3:12" ht="15.75" thickBot="1" x14ac:dyDescent="0.3"/>
    <row r="3" spans="3:12" ht="19.5" thickBot="1" x14ac:dyDescent="0.35">
      <c r="D3" s="303" t="s">
        <v>121</v>
      </c>
      <c r="E3" s="304"/>
      <c r="F3" s="304"/>
      <c r="G3" s="304"/>
      <c r="H3" s="304"/>
      <c r="I3" s="304"/>
      <c r="J3" s="304"/>
      <c r="K3" s="304"/>
      <c r="L3" s="305"/>
    </row>
    <row r="4" spans="3:12" ht="19.5" thickBot="1" x14ac:dyDescent="0.35">
      <c r="D4" s="105" t="s">
        <v>16</v>
      </c>
      <c r="E4" s="135" t="s">
        <v>19</v>
      </c>
      <c r="F4" s="135" t="s">
        <v>20</v>
      </c>
      <c r="G4" s="135" t="s">
        <v>21</v>
      </c>
      <c r="H4" s="135" t="s">
        <v>22</v>
      </c>
      <c r="I4" s="135" t="s">
        <v>23</v>
      </c>
      <c r="J4" s="135" t="s">
        <v>24</v>
      </c>
      <c r="K4" s="135" t="s">
        <v>25</v>
      </c>
      <c r="L4" s="135" t="s">
        <v>26</v>
      </c>
    </row>
    <row r="5" spans="3:12" ht="19.5" thickBot="1" x14ac:dyDescent="0.35">
      <c r="C5" s="99">
        <v>1</v>
      </c>
      <c r="D5" s="100" t="str">
        <f>'2'!D5</f>
        <v>ABC JURIDICAS S.A.S ( B )</v>
      </c>
      <c r="E5" s="100">
        <f>COUNTA('2'!E6:E8)</f>
        <v>0</v>
      </c>
      <c r="F5" s="100">
        <f>COUNTIF('2'!$H$5:$H$8,3)</f>
        <v>0</v>
      </c>
      <c r="G5" s="100">
        <f>COUNTIF('2'!$H$5:$H$8,1)</f>
        <v>0</v>
      </c>
      <c r="H5" s="100">
        <f>COUNTIF('2'!$H$5:$H$8,0)</f>
        <v>0</v>
      </c>
      <c r="I5" s="103">
        <f>SUM('2'!$G$5:$G$8)</f>
        <v>0</v>
      </c>
      <c r="J5" s="103">
        <f>SUM('2'!$F$5:$F$8)</f>
        <v>0</v>
      </c>
      <c r="K5" s="100">
        <f>I5-J5</f>
        <v>0</v>
      </c>
      <c r="L5" s="100">
        <f>(F5*3)+G5</f>
        <v>0</v>
      </c>
    </row>
    <row r="6" spans="3:12" ht="19.5" thickBot="1" x14ac:dyDescent="0.35">
      <c r="C6" s="105">
        <v>2</v>
      </c>
      <c r="D6" s="100" t="str">
        <f>'2'!D6</f>
        <v>LOS PRIMOS</v>
      </c>
      <c r="E6" s="100">
        <f>COUNTA('2'!E6,'2'!J7:J8)</f>
        <v>0</v>
      </c>
      <c r="F6" s="100">
        <f>COUNTIF('2'!$M$5:$M$8,3)</f>
        <v>0</v>
      </c>
      <c r="G6" s="100">
        <f>COUNTIF('2'!$M$5:$M$8,1)</f>
        <v>0</v>
      </c>
      <c r="H6" s="100">
        <f>COUNTIF('2'!$M$5:$M$8,0)</f>
        <v>0</v>
      </c>
      <c r="I6" s="103">
        <f>SUM('2'!$L$5:$L$8)</f>
        <v>0</v>
      </c>
      <c r="J6" s="103">
        <f>SUM('2'!$K$5:$K$8)</f>
        <v>0</v>
      </c>
      <c r="K6" s="100">
        <f>I6-J6</f>
        <v>0</v>
      </c>
      <c r="L6" s="100">
        <f>(F6*3)+G6</f>
        <v>0</v>
      </c>
    </row>
    <row r="7" spans="3:12" ht="19.5" thickBot="1" x14ac:dyDescent="0.35">
      <c r="C7" s="99">
        <v>3</v>
      </c>
      <c r="D7" s="100" t="str">
        <f>'2'!D7</f>
        <v>INTER CLUB</v>
      </c>
      <c r="E7" s="100">
        <f>COUNTA('2'!E7,'2'!J7,'2'!O8)</f>
        <v>0</v>
      </c>
      <c r="F7" s="100">
        <f>COUNTIF('2'!$R$5:$R$8,3)</f>
        <v>0</v>
      </c>
      <c r="G7" s="100">
        <f>COUNTIF('2'!$R$5:$R$8,1)</f>
        <v>0</v>
      </c>
      <c r="H7" s="100">
        <f>COUNTIF('2'!$R$5:$R$8,0)</f>
        <v>0</v>
      </c>
      <c r="I7" s="103">
        <f>SUM('2'!$Q$5:$Q$8)</f>
        <v>0</v>
      </c>
      <c r="J7" s="103">
        <f>SUM('2'!$P$5:$P$8)</f>
        <v>0</v>
      </c>
      <c r="K7" s="100">
        <f>I7-J7</f>
        <v>0</v>
      </c>
      <c r="L7" s="100">
        <f>(F7*3)+G7</f>
        <v>0</v>
      </c>
    </row>
    <row r="8" spans="3:12" ht="19.5" thickBot="1" x14ac:dyDescent="0.35">
      <c r="C8" s="105">
        <v>4</v>
      </c>
      <c r="D8" s="100" t="str">
        <f>'2'!D8</f>
        <v xml:space="preserve"> </v>
      </c>
      <c r="E8" s="100">
        <f>COUNTA('2'!E8,'2'!J8,'2'!O8)</f>
        <v>0</v>
      </c>
      <c r="F8" s="100">
        <f>COUNTIF('2'!$W$5:$W$8,3)</f>
        <v>0</v>
      </c>
      <c r="G8" s="100">
        <f>COUNTIF('2'!$W$5:$W$8,1)</f>
        <v>0</v>
      </c>
      <c r="H8" s="100">
        <f>COUNTIF('2'!$W$5:$W$8,0)</f>
        <v>0</v>
      </c>
      <c r="I8" s="103">
        <f>SUM('2'!$V$5:$V$8)</f>
        <v>0</v>
      </c>
      <c r="J8" s="103">
        <f>SUM('2'!$U$5:$U$8)</f>
        <v>0</v>
      </c>
      <c r="K8" s="100">
        <f>I8-J8</f>
        <v>0</v>
      </c>
      <c r="L8" s="100">
        <f>(F8*3)+G8</f>
        <v>0</v>
      </c>
    </row>
    <row r="9" spans="3:12" x14ac:dyDescent="0.25">
      <c r="E9" s="96">
        <f>SUM(E5:E8)/2</f>
        <v>0</v>
      </c>
      <c r="F9" s="96">
        <f>SUM(F5:F8)</f>
        <v>0</v>
      </c>
      <c r="G9" s="96">
        <f>SUM(G5:G8)/2</f>
        <v>0</v>
      </c>
      <c r="H9" s="96">
        <f>SUM(H5:H8)</f>
        <v>0</v>
      </c>
      <c r="I9" s="96">
        <f>SUM(I5:I8)</f>
        <v>0</v>
      </c>
      <c r="J9" s="96">
        <f>SUM(J5:J8)</f>
        <v>0</v>
      </c>
    </row>
    <row r="11" spans="3:12" ht="18.75" x14ac:dyDescent="0.3">
      <c r="D11" s="306"/>
      <c r="E11" s="306"/>
      <c r="F11" s="306"/>
      <c r="G11" s="306"/>
      <c r="H11" s="306"/>
      <c r="I11" s="306"/>
      <c r="J11" s="306"/>
      <c r="K11" s="306"/>
      <c r="L11" s="306"/>
    </row>
    <row r="13" spans="3:12" x14ac:dyDescent="0.25">
      <c r="D13" s="307"/>
      <c r="E13" s="307"/>
      <c r="F13" s="307"/>
      <c r="G13" s="307"/>
      <c r="H13" s="307"/>
      <c r="I13" s="307"/>
      <c r="J13" s="307"/>
      <c r="K13" s="307"/>
      <c r="L13" s="307"/>
    </row>
  </sheetData>
  <sheetProtection algorithmName="SHA-512" hashValue="7whpTBS/FZ7EKaB8TSuPf5FjQe7XFmjAoZYkGSA3sjemSH7zG3o399PkQnIcwqjALO2egsCCZCiJsyHFi7w2Ig==" saltValue="FIBaOp3w2YHkU0HwcLQVig==" spinCount="100000" sheet="1" sort="0"/>
  <sortState ref="D5:L8">
    <sortCondition descending="1" ref="L5:L8"/>
    <sortCondition descending="1" ref="K5:K8"/>
    <sortCondition ref="E5:E8"/>
    <sortCondition descending="1" ref="I5:I8"/>
    <sortCondition ref="J5:J8"/>
  </sortState>
  <mergeCells count="3">
    <mergeCell ref="D3:L3"/>
    <mergeCell ref="D11:L11"/>
    <mergeCell ref="D13:L1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8EF26-B2B5-4CE9-87C9-72C798C1DC04}">
  <sheetPr codeName="Hoja30"/>
  <dimension ref="A3:X8"/>
  <sheetViews>
    <sheetView showGridLines="0" zoomScale="90" zoomScaleNormal="90" workbookViewId="0"/>
  </sheetViews>
  <sheetFormatPr baseColWidth="10" defaultRowHeight="15" x14ac:dyDescent="0.25"/>
  <cols>
    <col min="1" max="2" width="11.42578125" style="96"/>
    <col min="3" max="3" width="3.28515625" style="96" customWidth="1"/>
    <col min="4" max="4" width="30.7109375" style="96" customWidth="1"/>
    <col min="5" max="5" width="10.7109375" style="96" customWidth="1"/>
    <col min="6" max="7" width="5.7109375" style="96" customWidth="1"/>
    <col min="8" max="8" width="11.42578125" style="96" hidden="1" customWidth="1"/>
    <col min="9" max="10" width="10.7109375" style="96" customWidth="1"/>
    <col min="11" max="12" width="5.7109375" style="96" customWidth="1"/>
    <col min="13" max="13" width="11.42578125" style="96" hidden="1" customWidth="1"/>
    <col min="14" max="15" width="10.7109375" style="96" customWidth="1"/>
    <col min="16" max="17" width="5.7109375" style="96" customWidth="1"/>
    <col min="18" max="18" width="11.42578125" style="96" hidden="1" customWidth="1"/>
    <col min="19" max="20" width="10.7109375" style="96" customWidth="1"/>
    <col min="21" max="22" width="5.7109375" style="96" customWidth="1"/>
    <col min="23" max="23" width="11.42578125" style="96" hidden="1" customWidth="1"/>
    <col min="24" max="24" width="10.7109375" style="96" customWidth="1"/>
    <col min="25" max="25" width="5.7109375" style="96" customWidth="1"/>
    <col min="26" max="26" width="45.7109375" style="96" customWidth="1"/>
    <col min="27" max="27" width="4.28515625" style="96" bestFit="1" customWidth="1"/>
    <col min="28" max="28" width="5.140625" style="96" bestFit="1" customWidth="1"/>
    <col min="29" max="29" width="4.7109375" style="96" bestFit="1" customWidth="1"/>
    <col min="30" max="30" width="4.85546875" style="96" bestFit="1" customWidth="1"/>
    <col min="31" max="31" width="5" style="96" bestFit="1" customWidth="1"/>
    <col min="32" max="32" width="5.140625" style="96" bestFit="1" customWidth="1"/>
    <col min="33" max="33" width="5.42578125" style="96" bestFit="1" customWidth="1"/>
    <col min="34" max="34" width="7.140625" style="96" bestFit="1" customWidth="1"/>
    <col min="35" max="16384" width="11.42578125" style="96"/>
  </cols>
  <sheetData>
    <row r="3" spans="1:24" x14ac:dyDescent="0.25">
      <c r="C3" s="294" t="s">
        <v>37</v>
      </c>
      <c r="D3" s="296" t="s">
        <v>122</v>
      </c>
      <c r="E3" s="289" t="str">
        <f>D5</f>
        <v>EMBRAGUES Y CAJAS QUINTERO</v>
      </c>
      <c r="F3" s="290"/>
      <c r="G3" s="290"/>
      <c r="H3" s="290"/>
      <c r="I3" s="291"/>
      <c r="J3" s="289" t="str">
        <f>D6</f>
        <v>EL PARCHE</v>
      </c>
      <c r="K3" s="290"/>
      <c r="L3" s="290"/>
      <c r="M3" s="290"/>
      <c r="N3" s="291"/>
      <c r="O3" s="289" t="str">
        <f>D7</f>
        <v>VILLA CITY</v>
      </c>
      <c r="P3" s="290"/>
      <c r="Q3" s="290"/>
      <c r="R3" s="290"/>
      <c r="S3" s="291"/>
      <c r="T3" s="289" t="str">
        <f>D8</f>
        <v>RB LEIPZIG</v>
      </c>
      <c r="U3" s="290"/>
      <c r="V3" s="290"/>
      <c r="W3" s="290"/>
      <c r="X3" s="291"/>
    </row>
    <row r="4" spans="1:24" x14ac:dyDescent="0.25">
      <c r="C4" s="295"/>
      <c r="D4" s="297"/>
      <c r="E4" s="129" t="s">
        <v>67</v>
      </c>
      <c r="F4" s="292" t="s">
        <v>69</v>
      </c>
      <c r="G4" s="293"/>
      <c r="H4" s="140"/>
      <c r="I4" s="130" t="s">
        <v>68</v>
      </c>
      <c r="J4" s="131" t="s">
        <v>67</v>
      </c>
      <c r="K4" s="292" t="s">
        <v>69</v>
      </c>
      <c r="L4" s="293"/>
      <c r="M4" s="140"/>
      <c r="N4" s="130" t="s">
        <v>68</v>
      </c>
      <c r="O4" s="131" t="s">
        <v>67</v>
      </c>
      <c r="P4" s="292" t="s">
        <v>69</v>
      </c>
      <c r="Q4" s="293"/>
      <c r="R4" s="140"/>
      <c r="S4" s="130" t="s">
        <v>68</v>
      </c>
      <c r="T4" s="131" t="s">
        <v>67</v>
      </c>
      <c r="U4" s="292" t="s">
        <v>69</v>
      </c>
      <c r="V4" s="293"/>
      <c r="W4" s="140"/>
      <c r="X4" s="130" t="s">
        <v>68</v>
      </c>
    </row>
    <row r="5" spans="1:24" x14ac:dyDescent="0.25">
      <c r="A5" s="298"/>
      <c r="B5" s="299"/>
      <c r="C5" s="111">
        <v>1</v>
      </c>
      <c r="D5" s="142" t="str">
        <f>CUADRANGULARES!M7</f>
        <v>EMBRAGUES Y CAJAS QUINTERO</v>
      </c>
      <c r="E5" s="300" t="s">
        <v>66</v>
      </c>
      <c r="F5" s="301"/>
      <c r="G5" s="301"/>
      <c r="H5" s="301"/>
      <c r="I5" s="302"/>
      <c r="J5" s="132" t="str">
        <f>IF(E6&lt;&gt;0,E6," ")</f>
        <v xml:space="preserve"> </v>
      </c>
      <c r="K5" s="133" t="str">
        <f>IF(E6&lt;&gt;0,G6, " ")</f>
        <v xml:space="preserve"> </v>
      </c>
      <c r="L5" s="133" t="str">
        <f>IF(E6&lt;&gt;0,F6," ")</f>
        <v xml:space="preserve"> </v>
      </c>
      <c r="M5" s="128" t="str">
        <f>IF(E6&lt;&gt;0,IF(K5&lt;L5,"3",IF(K5&gt;L5,"0","1")),"")</f>
        <v/>
      </c>
      <c r="N5" s="133" t="str">
        <f>IF(E6&lt;&gt;0,I6," ")</f>
        <v xml:space="preserve"> </v>
      </c>
      <c r="O5" s="132" t="str">
        <f>IF(E7&lt;&gt;0,E7," ")</f>
        <v xml:space="preserve"> </v>
      </c>
      <c r="P5" s="133" t="str">
        <f>IF(E7&lt;&gt;0,G7," ")</f>
        <v xml:space="preserve"> </v>
      </c>
      <c r="Q5" s="133" t="str">
        <f>IF(E7&lt;&gt;0,F7," ")</f>
        <v xml:space="preserve"> </v>
      </c>
      <c r="R5" s="128" t="str">
        <f>IF(E7&lt;&gt;0,IF(P5&lt;Q5,"3",IF(P5&gt;Q5,"0","1")),"")</f>
        <v/>
      </c>
      <c r="S5" s="133" t="str">
        <f>IF(E7&lt;&gt;0,I7," ")</f>
        <v xml:space="preserve"> </v>
      </c>
      <c r="T5" s="132" t="str">
        <f>IF(E8&lt;&gt;0,E8," ")</f>
        <v xml:space="preserve"> </v>
      </c>
      <c r="U5" s="133" t="str">
        <f>IF(E8&lt;&gt;0,G8," ")</f>
        <v xml:space="preserve"> </v>
      </c>
      <c r="V5" s="133" t="str">
        <f>IF(E8&lt;&gt;0,F8," ")</f>
        <v xml:space="preserve"> </v>
      </c>
      <c r="W5" s="128" t="str">
        <f>IF(E8&lt;&gt;0,IF(U5&lt;V5,"3",IF(U5&gt;V5,"0","1")),"")</f>
        <v/>
      </c>
      <c r="X5" s="134" t="str">
        <f>IF(E8&lt;&gt;0,I8," ")</f>
        <v xml:space="preserve"> </v>
      </c>
    </row>
    <row r="6" spans="1:24" x14ac:dyDescent="0.25">
      <c r="A6" s="298"/>
      <c r="B6" s="299"/>
      <c r="C6" s="111">
        <v>2</v>
      </c>
      <c r="D6" s="142" t="str">
        <f>CUADRANGULARES!M10</f>
        <v>EL PARCHE</v>
      </c>
      <c r="E6" s="93"/>
      <c r="F6" s="94"/>
      <c r="G6" s="94"/>
      <c r="H6" s="95" t="str">
        <f>IF(E6&lt;&gt;0,IF(F6&lt;G6,"3",IF(F6&gt;G6,"0","1")),"")</f>
        <v/>
      </c>
      <c r="I6" s="95"/>
      <c r="J6" s="300" t="s">
        <v>66</v>
      </c>
      <c r="K6" s="301"/>
      <c r="L6" s="301"/>
      <c r="M6" s="301"/>
      <c r="N6" s="302"/>
      <c r="O6" s="136" t="str">
        <f>IF(J7&lt;&gt;0,J7," ")</f>
        <v xml:space="preserve"> </v>
      </c>
      <c r="P6" s="134" t="str">
        <f>IF(J7&lt;&gt;0,L7," ")</f>
        <v xml:space="preserve"> </v>
      </c>
      <c r="Q6" s="137" t="str">
        <f>IF(J7&lt;&gt;0,K7," ")</f>
        <v xml:space="preserve"> </v>
      </c>
      <c r="R6" s="128" t="str">
        <f>IF(J7&lt;&gt;0,IF(P6&lt;Q6,"3",IF(P6&gt;Q6,"0","1")),"")</f>
        <v/>
      </c>
      <c r="S6" s="134" t="str">
        <f>IF(J7&lt;&gt;0,N7," ")</f>
        <v xml:space="preserve"> </v>
      </c>
      <c r="T6" s="136" t="str">
        <f>IF(J8&lt;&gt;0,J8," ")</f>
        <v xml:space="preserve"> </v>
      </c>
      <c r="U6" s="134" t="str">
        <f>IF(J8&lt;&gt;0,L8," ")</f>
        <v xml:space="preserve"> </v>
      </c>
      <c r="V6" s="137" t="str">
        <f>IF(J8&lt;&gt;0,K8," ")</f>
        <v xml:space="preserve"> </v>
      </c>
      <c r="W6" s="128" t="str">
        <f>IF(J8&lt;&gt;0,IF(U6&lt;V6,"3",IF(U6&gt;V6,"0","1")),"")</f>
        <v/>
      </c>
      <c r="X6" s="134" t="str">
        <f>IF(J8&lt;&gt;0,N8," ")</f>
        <v xml:space="preserve"> </v>
      </c>
    </row>
    <row r="7" spans="1:24" x14ac:dyDescent="0.25">
      <c r="A7" s="298"/>
      <c r="B7" s="299"/>
      <c r="C7" s="111">
        <v>3</v>
      </c>
      <c r="D7" s="142" t="str">
        <f>CUADRANGULARES!M13</f>
        <v>VILLA CITY</v>
      </c>
      <c r="E7" s="93"/>
      <c r="F7" s="94"/>
      <c r="G7" s="94"/>
      <c r="H7" s="95" t="str">
        <f t="shared" ref="H7:H8" si="0">IF(E7&lt;&gt;0,IF(F7&lt;G7,"3",IF(F7&gt;G7,"0","1")),"")</f>
        <v/>
      </c>
      <c r="I7" s="95"/>
      <c r="J7" s="93"/>
      <c r="K7" s="94"/>
      <c r="L7" s="94"/>
      <c r="M7" s="95" t="str">
        <f>IF(J7&lt;&gt;0,IF(K7&lt;L7,"3",IF(K7&gt;L7,"0","1")),"")</f>
        <v/>
      </c>
      <c r="N7" s="95"/>
      <c r="O7" s="300" t="s">
        <v>66</v>
      </c>
      <c r="P7" s="301"/>
      <c r="Q7" s="301"/>
      <c r="R7" s="301"/>
      <c r="S7" s="302"/>
      <c r="T7" s="136" t="str">
        <f>IF(O8&lt;&gt;0,O8," ")</f>
        <v xml:space="preserve"> </v>
      </c>
      <c r="U7" s="134" t="str">
        <f>IF(O8&lt;&gt;0,Q8," ")</f>
        <v xml:space="preserve"> </v>
      </c>
      <c r="V7" s="137" t="str">
        <f>IF(O8&lt;&gt;0,P8," ")</f>
        <v xml:space="preserve"> </v>
      </c>
      <c r="W7" s="128" t="str">
        <f>IF(O8&lt;&gt;0,IF(U7&lt;V7,"3",IF(U7&gt;V7,"0","1")),"")</f>
        <v/>
      </c>
      <c r="X7" s="134" t="str">
        <f>IF(O8&lt;&gt;0,S8," ")</f>
        <v xml:space="preserve"> </v>
      </c>
    </row>
    <row r="8" spans="1:24" x14ac:dyDescent="0.25">
      <c r="A8" s="298"/>
      <c r="B8" s="299"/>
      <c r="C8" s="111">
        <v>4</v>
      </c>
      <c r="D8" s="142" t="str">
        <f>CUADRANGULARES!M16</f>
        <v>RB LEIPZIG</v>
      </c>
      <c r="E8" s="93"/>
      <c r="F8" s="94"/>
      <c r="G8" s="94"/>
      <c r="H8" s="95" t="str">
        <f t="shared" si="0"/>
        <v/>
      </c>
      <c r="I8" s="95"/>
      <c r="J8" s="93"/>
      <c r="K8" s="94"/>
      <c r="L8" s="94"/>
      <c r="M8" s="95" t="str">
        <f t="shared" ref="M8" si="1">IF(J8&lt;&gt;0,IF(K8&lt;L8,"3",IF(K8&gt;L8,"0","1")),"")</f>
        <v/>
      </c>
      <c r="N8" s="95"/>
      <c r="O8" s="93"/>
      <c r="P8" s="94"/>
      <c r="Q8" s="94"/>
      <c r="R8" s="95" t="str">
        <f>IF(O8&lt;&gt;0,IF(P8&lt;Q8,"3",IF(P8&gt;Q8,"0","1")),"")</f>
        <v/>
      </c>
      <c r="S8" s="95"/>
      <c r="T8" s="300" t="s">
        <v>66</v>
      </c>
      <c r="U8" s="301"/>
      <c r="V8" s="301"/>
      <c r="W8" s="301"/>
      <c r="X8" s="302"/>
    </row>
  </sheetData>
  <sheetProtection algorithmName="SHA-512" hashValue="OZnwBIrP0xCFhOT7cyuRVSI9eM1IXxRnaFKW7wO5/TxqmjZm93WYMqWonnyCVpzIe8TxLQ06YrA9mMS6HAJNKQ==" saltValue="ddDdo65VPxODddyWaElEoQ==" spinCount="100000" sheet="1" formatCells="0" sort="0"/>
  <mergeCells count="18">
    <mergeCell ref="A5:B5"/>
    <mergeCell ref="A6:B6"/>
    <mergeCell ref="A7:B7"/>
    <mergeCell ref="A8:B8"/>
    <mergeCell ref="E5:I5"/>
    <mergeCell ref="J6:N6"/>
    <mergeCell ref="O7:S7"/>
    <mergeCell ref="T8:X8"/>
    <mergeCell ref="C3:C4"/>
    <mergeCell ref="D3:D4"/>
    <mergeCell ref="E3:I3"/>
    <mergeCell ref="J3:N3"/>
    <mergeCell ref="O3:S3"/>
    <mergeCell ref="T3:X3"/>
    <mergeCell ref="F4:G4"/>
    <mergeCell ref="K4:L4"/>
    <mergeCell ref="P4:Q4"/>
    <mergeCell ref="U4:V4"/>
  </mergeCells>
  <conditionalFormatting sqref="T7:V7 O6:Q6 E6:G6 E7:H8 I7:N7 I8:S8 J5:Q5 S5:V6 X5:X7 I6">
    <cfRule type="notContainsBlanks" dxfId="45" priority="5">
      <formula>LEN(TRIM(E5))&gt;0</formula>
    </cfRule>
  </conditionalFormatting>
  <conditionalFormatting sqref="J5:Q5 S5:U5">
    <cfRule type="notContainsBlanks" dxfId="44" priority="6">
      <formula>LEN(TRIM(J5))&gt;0</formula>
    </cfRule>
  </conditionalFormatting>
  <conditionalFormatting sqref="V5">
    <cfRule type="notContainsBlanks" dxfId="43" priority="4">
      <formula>LEN(TRIM(V5))&gt;0</formula>
    </cfRule>
  </conditionalFormatting>
  <conditionalFormatting sqref="R5:R6">
    <cfRule type="notContainsBlanks" dxfId="42" priority="3">
      <formula>LEN(TRIM(R5))&gt;0</formula>
    </cfRule>
  </conditionalFormatting>
  <conditionalFormatting sqref="W5:W7">
    <cfRule type="notContainsBlanks" dxfId="41" priority="2">
      <formula>LEN(TRIM(W5))&gt;0</formula>
    </cfRule>
  </conditionalFormatting>
  <conditionalFormatting sqref="H6">
    <cfRule type="notContainsBlanks" dxfId="40" priority="1">
      <formula>LEN(TRIM(H6))&gt;0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7DCF2-2077-4E5F-A4C5-7A4C901E8D46}">
  <sheetPr codeName="Hoja14"/>
  <dimension ref="C2:L13"/>
  <sheetViews>
    <sheetView showGridLines="0" zoomScale="90" zoomScaleNormal="90" workbookViewId="0"/>
  </sheetViews>
  <sheetFormatPr baseColWidth="10" defaultRowHeight="15" x14ac:dyDescent="0.25"/>
  <cols>
    <col min="1" max="1" width="11.42578125" style="96"/>
    <col min="2" max="2" width="5.7109375" style="96" customWidth="1"/>
    <col min="3" max="3" width="4.7109375" style="96" customWidth="1"/>
    <col min="4" max="4" width="60.7109375" style="96" customWidth="1"/>
    <col min="5" max="10" width="5.7109375" style="96" customWidth="1"/>
    <col min="11" max="11" width="5.7109375" style="141" customWidth="1"/>
    <col min="12" max="12" width="7.7109375" style="96" customWidth="1"/>
    <col min="13" max="13" width="11.42578125" style="96"/>
    <col min="14" max="14" width="4.140625" style="96" bestFit="1" customWidth="1"/>
    <col min="15" max="15" width="45.7109375" style="96" customWidth="1"/>
    <col min="16" max="16" width="4.28515625" style="96" bestFit="1" customWidth="1"/>
    <col min="17" max="17" width="5.140625" style="96" bestFit="1" customWidth="1"/>
    <col min="18" max="18" width="4.7109375" style="96" bestFit="1" customWidth="1"/>
    <col min="19" max="19" width="4.85546875" style="96" bestFit="1" customWidth="1"/>
    <col min="20" max="20" width="5" style="96" bestFit="1" customWidth="1"/>
    <col min="21" max="21" width="5.140625" style="96" bestFit="1" customWidth="1"/>
    <col min="22" max="22" width="5.42578125" style="96" bestFit="1" customWidth="1"/>
    <col min="23" max="23" width="7.140625" style="96" bestFit="1" customWidth="1"/>
    <col min="24" max="16384" width="11.42578125" style="96"/>
  </cols>
  <sheetData>
    <row r="2" spans="3:12" ht="15.75" thickBot="1" x14ac:dyDescent="0.3"/>
    <row r="3" spans="3:12" ht="19.5" thickBot="1" x14ac:dyDescent="0.35">
      <c r="D3" s="303" t="s">
        <v>122</v>
      </c>
      <c r="E3" s="304"/>
      <c r="F3" s="304"/>
      <c r="G3" s="304"/>
      <c r="H3" s="304"/>
      <c r="I3" s="304"/>
      <c r="J3" s="304"/>
      <c r="K3" s="304"/>
      <c r="L3" s="305"/>
    </row>
    <row r="4" spans="3:12" ht="19.5" thickBot="1" x14ac:dyDescent="0.35">
      <c r="D4" s="105" t="s">
        <v>16</v>
      </c>
      <c r="E4" s="135" t="s">
        <v>19</v>
      </c>
      <c r="F4" s="135" t="s">
        <v>20</v>
      </c>
      <c r="G4" s="135" t="s">
        <v>21</v>
      </c>
      <c r="H4" s="135" t="s">
        <v>22</v>
      </c>
      <c r="I4" s="135" t="s">
        <v>23</v>
      </c>
      <c r="J4" s="135" t="s">
        <v>24</v>
      </c>
      <c r="K4" s="135" t="s">
        <v>25</v>
      </c>
      <c r="L4" s="135" t="s">
        <v>26</v>
      </c>
    </row>
    <row r="5" spans="3:12" ht="19.5" thickBot="1" x14ac:dyDescent="0.35">
      <c r="C5" s="99">
        <v>1</v>
      </c>
      <c r="D5" s="100" t="str">
        <f>'3'!D5</f>
        <v>EMBRAGUES Y CAJAS QUINTERO</v>
      </c>
      <c r="E5" s="100">
        <f>COUNTA('3'!E6:E8)</f>
        <v>0</v>
      </c>
      <c r="F5" s="100">
        <f>COUNTIF('3'!$H$5:$H$8,3)</f>
        <v>0</v>
      </c>
      <c r="G5" s="100">
        <f>COUNTIF('3'!$H$5:$H$8,1)</f>
        <v>0</v>
      </c>
      <c r="H5" s="100">
        <f>COUNTIF('3'!$H$5:$H$8,0)</f>
        <v>0</v>
      </c>
      <c r="I5" s="103">
        <f>SUM('3'!$G$5:$G$8)</f>
        <v>0</v>
      </c>
      <c r="J5" s="103">
        <f>SUM('3'!$F$5:$F$8)</f>
        <v>0</v>
      </c>
      <c r="K5" s="100">
        <f>I5-J5</f>
        <v>0</v>
      </c>
      <c r="L5" s="100">
        <f>(F5*3)+G5</f>
        <v>0</v>
      </c>
    </row>
    <row r="6" spans="3:12" ht="19.5" thickBot="1" x14ac:dyDescent="0.35">
      <c r="C6" s="105">
        <v>2</v>
      </c>
      <c r="D6" s="100" t="str">
        <f>'3'!D6</f>
        <v>EL PARCHE</v>
      </c>
      <c r="E6" s="100">
        <f>COUNTA('3'!E6,'3'!J7:J8)</f>
        <v>0</v>
      </c>
      <c r="F6" s="100">
        <f>COUNTIF('3'!$M$5:$M$8,3)</f>
        <v>0</v>
      </c>
      <c r="G6" s="100">
        <f>COUNTIF('3'!$M$5:$M$8,1)</f>
        <v>0</v>
      </c>
      <c r="H6" s="100">
        <f>COUNTIF('3'!$M$5:$M$8,0)</f>
        <v>0</v>
      </c>
      <c r="I6" s="103">
        <f>SUM('3'!$L$5:$L$8)</f>
        <v>0</v>
      </c>
      <c r="J6" s="103">
        <f>SUM('3'!$K$5:$K$8)</f>
        <v>0</v>
      </c>
      <c r="K6" s="100">
        <f>I6-J6</f>
        <v>0</v>
      </c>
      <c r="L6" s="100">
        <f>(F6*3)+G6</f>
        <v>0</v>
      </c>
    </row>
    <row r="7" spans="3:12" ht="19.5" thickBot="1" x14ac:dyDescent="0.35">
      <c r="C7" s="99">
        <v>3</v>
      </c>
      <c r="D7" s="100" t="str">
        <f>'3'!D7</f>
        <v>VILLA CITY</v>
      </c>
      <c r="E7" s="100">
        <f>COUNTA('3'!E7,'3'!J7,'3'!O8)</f>
        <v>0</v>
      </c>
      <c r="F7" s="100">
        <f>COUNTIF('3'!$R$5:$R$8,3)</f>
        <v>0</v>
      </c>
      <c r="G7" s="100">
        <f>COUNTIF('3'!$R$5:$R$8,1)</f>
        <v>0</v>
      </c>
      <c r="H7" s="100">
        <f>COUNTIF('3'!$R$5:$R$8,0)</f>
        <v>0</v>
      </c>
      <c r="I7" s="103">
        <f>SUM('3'!$Q$5:$Q$8)</f>
        <v>0</v>
      </c>
      <c r="J7" s="103">
        <f>SUM('3'!$P$5:$P$8)</f>
        <v>0</v>
      </c>
      <c r="K7" s="100">
        <f>I7-J7</f>
        <v>0</v>
      </c>
      <c r="L7" s="100">
        <f>(F7*3)+G7</f>
        <v>0</v>
      </c>
    </row>
    <row r="8" spans="3:12" ht="19.5" thickBot="1" x14ac:dyDescent="0.35">
      <c r="C8" s="105">
        <v>4</v>
      </c>
      <c r="D8" s="100" t="str">
        <f>'3'!D8</f>
        <v>RB LEIPZIG</v>
      </c>
      <c r="E8" s="100">
        <f>COUNTA('3'!E8,'3'!J8,'3'!O8)</f>
        <v>0</v>
      </c>
      <c r="F8" s="100">
        <f>COUNTIF('3'!$W$5:$W$8,3)</f>
        <v>0</v>
      </c>
      <c r="G8" s="100">
        <f>COUNTIF('3'!$W$5:$W$8,1)</f>
        <v>0</v>
      </c>
      <c r="H8" s="100">
        <f>COUNTIF('3'!$W$5:$W$8,0)</f>
        <v>0</v>
      </c>
      <c r="I8" s="103">
        <f>SUM('3'!$V$5:$V$8)</f>
        <v>0</v>
      </c>
      <c r="J8" s="103">
        <f>SUM('3'!$U$5:$U$8)</f>
        <v>0</v>
      </c>
      <c r="K8" s="100">
        <f>I8-J8</f>
        <v>0</v>
      </c>
      <c r="L8" s="100">
        <f>(F8*3)+G8</f>
        <v>0</v>
      </c>
    </row>
    <row r="9" spans="3:12" x14ac:dyDescent="0.25">
      <c r="E9" s="96">
        <f>SUM(E5:E8)/2</f>
        <v>0</v>
      </c>
      <c r="F9" s="96">
        <f>SUM(F5:F8)</f>
        <v>0</v>
      </c>
      <c r="G9" s="96">
        <f>SUM(G5:G8)/2</f>
        <v>0</v>
      </c>
      <c r="H9" s="96">
        <f>SUM(H5:H8)</f>
        <v>0</v>
      </c>
      <c r="I9" s="96">
        <f>SUM(I5:I8)</f>
        <v>0</v>
      </c>
      <c r="J9" s="96">
        <f>SUM(J5:J8)</f>
        <v>0</v>
      </c>
    </row>
    <row r="11" spans="3:12" ht="18.75" x14ac:dyDescent="0.3">
      <c r="D11" s="306"/>
      <c r="E11" s="306"/>
      <c r="F11" s="306"/>
      <c r="G11" s="306"/>
      <c r="H11" s="306"/>
      <c r="I11" s="306"/>
      <c r="J11" s="306"/>
      <c r="K11" s="306"/>
      <c r="L11" s="306"/>
    </row>
    <row r="13" spans="3:12" x14ac:dyDescent="0.25">
      <c r="D13" s="307"/>
      <c r="E13" s="307"/>
      <c r="F13" s="307"/>
      <c r="G13" s="307"/>
      <c r="H13" s="307"/>
      <c r="I13" s="307"/>
      <c r="J13" s="307"/>
      <c r="K13" s="307"/>
      <c r="L13" s="307"/>
    </row>
  </sheetData>
  <sheetProtection algorithmName="SHA-512" hashValue="xpyN7u0bRMsLvqvwI9vT3Nqj6oiLM9hImtUJ40dP2mi4RaUljggJbJu3HOLV4NEAVGRjCnyK8PtnY0YMWdncjA==" saltValue="V4c2+UWIMCiuYDCI8SDgWg==" spinCount="100000" sheet="1" sort="0"/>
  <sortState ref="D5:L8">
    <sortCondition descending="1" ref="L5:L8"/>
    <sortCondition descending="1" ref="K5:K8"/>
    <sortCondition ref="E5:E8"/>
    <sortCondition descending="1" ref="I5:I8"/>
    <sortCondition ref="J5:J8"/>
  </sortState>
  <mergeCells count="3">
    <mergeCell ref="D3:L3"/>
    <mergeCell ref="D11:L11"/>
    <mergeCell ref="D13:L1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24E26-5CB5-4779-9471-66D39DCABF6B}">
  <sheetPr codeName="Hoja31"/>
  <dimension ref="A3:X8"/>
  <sheetViews>
    <sheetView showGridLines="0" zoomScale="90" zoomScaleNormal="90" workbookViewId="0"/>
  </sheetViews>
  <sheetFormatPr baseColWidth="10" defaultRowHeight="15" x14ac:dyDescent="0.25"/>
  <cols>
    <col min="1" max="2" width="11.42578125" style="96"/>
    <col min="3" max="3" width="3.28515625" style="96" customWidth="1"/>
    <col min="4" max="4" width="30.7109375" style="96" customWidth="1"/>
    <col min="5" max="5" width="10.7109375" style="96" customWidth="1"/>
    <col min="6" max="7" width="5.7109375" style="96" customWidth="1"/>
    <col min="8" max="8" width="11.42578125" style="96" hidden="1" customWidth="1"/>
    <col min="9" max="10" width="10.7109375" style="96" customWidth="1"/>
    <col min="11" max="12" width="5.7109375" style="96" customWidth="1"/>
    <col min="13" max="13" width="11.42578125" style="96" hidden="1" customWidth="1"/>
    <col min="14" max="15" width="10.7109375" style="96" customWidth="1"/>
    <col min="16" max="17" width="5.7109375" style="96" customWidth="1"/>
    <col min="18" max="18" width="11.42578125" style="96" hidden="1" customWidth="1"/>
    <col min="19" max="20" width="10.7109375" style="96" customWidth="1"/>
    <col min="21" max="22" width="5.7109375" style="96" customWidth="1"/>
    <col min="23" max="23" width="11.42578125" style="96" hidden="1" customWidth="1"/>
    <col min="24" max="24" width="10.7109375" style="96" customWidth="1"/>
    <col min="25" max="25" width="5.7109375" style="96" customWidth="1"/>
    <col min="26" max="26" width="45.7109375" style="96" customWidth="1"/>
    <col min="27" max="27" width="4.28515625" style="96" bestFit="1" customWidth="1"/>
    <col min="28" max="28" width="5.140625" style="96" bestFit="1" customWidth="1"/>
    <col min="29" max="29" width="4.7109375" style="96" bestFit="1" customWidth="1"/>
    <col min="30" max="30" width="4.85546875" style="96" bestFit="1" customWidth="1"/>
    <col min="31" max="31" width="5" style="96" bestFit="1" customWidth="1"/>
    <col min="32" max="32" width="5.140625" style="96" bestFit="1" customWidth="1"/>
    <col min="33" max="33" width="5.42578125" style="96" bestFit="1" customWidth="1"/>
    <col min="34" max="34" width="7.140625" style="96" bestFit="1" customWidth="1"/>
    <col min="35" max="16384" width="11.42578125" style="96"/>
  </cols>
  <sheetData>
    <row r="3" spans="1:24" x14ac:dyDescent="0.25">
      <c r="C3" s="294" t="s">
        <v>37</v>
      </c>
      <c r="D3" s="296" t="s">
        <v>123</v>
      </c>
      <c r="E3" s="289" t="str">
        <f>D5</f>
        <v>ABC JURIDICAS S.A.S ( A )</v>
      </c>
      <c r="F3" s="290"/>
      <c r="G3" s="290"/>
      <c r="H3" s="290"/>
      <c r="I3" s="291"/>
      <c r="J3" s="289" t="str">
        <f>D6</f>
        <v>RESTAURANTE GRAN CHINA</v>
      </c>
      <c r="K3" s="290"/>
      <c r="L3" s="290"/>
      <c r="M3" s="290"/>
      <c r="N3" s="291"/>
      <c r="O3" s="289" t="str">
        <f>D7</f>
        <v>PLATENSE</v>
      </c>
      <c r="P3" s="290"/>
      <c r="Q3" s="290"/>
      <c r="R3" s="290"/>
      <c r="S3" s="291"/>
      <c r="T3" s="289" t="str">
        <f>D8</f>
        <v xml:space="preserve"> </v>
      </c>
      <c r="U3" s="290"/>
      <c r="V3" s="290"/>
      <c r="W3" s="290"/>
      <c r="X3" s="291"/>
    </row>
    <row r="4" spans="1:24" x14ac:dyDescent="0.25">
      <c r="C4" s="295"/>
      <c r="D4" s="297"/>
      <c r="E4" s="129" t="s">
        <v>67</v>
      </c>
      <c r="F4" s="292" t="s">
        <v>69</v>
      </c>
      <c r="G4" s="293"/>
      <c r="H4" s="140"/>
      <c r="I4" s="130" t="s">
        <v>68</v>
      </c>
      <c r="J4" s="131" t="s">
        <v>67</v>
      </c>
      <c r="K4" s="292" t="s">
        <v>69</v>
      </c>
      <c r="L4" s="293"/>
      <c r="M4" s="140"/>
      <c r="N4" s="130" t="s">
        <v>68</v>
      </c>
      <c r="O4" s="131" t="s">
        <v>67</v>
      </c>
      <c r="P4" s="292" t="s">
        <v>69</v>
      </c>
      <c r="Q4" s="293"/>
      <c r="R4" s="140"/>
      <c r="S4" s="130" t="s">
        <v>68</v>
      </c>
      <c r="T4" s="131" t="s">
        <v>67</v>
      </c>
      <c r="U4" s="292" t="s">
        <v>69</v>
      </c>
      <c r="V4" s="293"/>
      <c r="W4" s="140"/>
      <c r="X4" s="130" t="s">
        <v>68</v>
      </c>
    </row>
    <row r="5" spans="1:24" x14ac:dyDescent="0.25">
      <c r="A5" s="298"/>
      <c r="B5" s="299"/>
      <c r="C5" s="111">
        <v>1</v>
      </c>
      <c r="D5" s="142" t="str">
        <f>CUADRANGULARES!O7</f>
        <v>ABC JURIDICAS S.A.S ( A )</v>
      </c>
      <c r="E5" s="300" t="s">
        <v>66</v>
      </c>
      <c r="F5" s="301"/>
      <c r="G5" s="301"/>
      <c r="H5" s="301"/>
      <c r="I5" s="302"/>
      <c r="J5" s="132" t="str">
        <f>IF(E6&lt;&gt;0,E6," ")</f>
        <v xml:space="preserve"> </v>
      </c>
      <c r="K5" s="133" t="str">
        <f>IF(E6&lt;&gt;0,G6, " ")</f>
        <v xml:space="preserve"> </v>
      </c>
      <c r="L5" s="133" t="str">
        <f>IF(E6&lt;&gt;0,F6," ")</f>
        <v xml:space="preserve"> </v>
      </c>
      <c r="M5" s="128" t="str">
        <f>IF(E6&lt;&gt;0,IF(K5&lt;L5,"3",IF(K5&gt;L5,"0","1")),"")</f>
        <v/>
      </c>
      <c r="N5" s="133" t="str">
        <f>IF(E6&lt;&gt;0,I6," ")</f>
        <v xml:space="preserve"> </v>
      </c>
      <c r="O5" s="132" t="str">
        <f>IF(E7&lt;&gt;0,E7," ")</f>
        <v xml:space="preserve"> </v>
      </c>
      <c r="P5" s="133" t="str">
        <f>IF(E7&lt;&gt;0,G7," ")</f>
        <v xml:space="preserve"> </v>
      </c>
      <c r="Q5" s="133" t="str">
        <f>IF(E7&lt;&gt;0,F7," ")</f>
        <v xml:space="preserve"> </v>
      </c>
      <c r="R5" s="128" t="str">
        <f>IF(E7&lt;&gt;0,IF(P5&lt;Q5,"3",IF(P5&gt;Q5,"0","1")),"")</f>
        <v/>
      </c>
      <c r="S5" s="133" t="str">
        <f>IF(E7&lt;&gt;0,I7," ")</f>
        <v xml:space="preserve"> </v>
      </c>
      <c r="T5" s="132" t="str">
        <f>IF(E8&lt;&gt;0,E8," ")</f>
        <v xml:space="preserve"> </v>
      </c>
      <c r="U5" s="133" t="str">
        <f>IF(E8&lt;&gt;0,G8," ")</f>
        <v xml:space="preserve"> </v>
      </c>
      <c r="V5" s="133" t="str">
        <f>IF(E8&lt;&gt;0,F8," ")</f>
        <v xml:space="preserve"> </v>
      </c>
      <c r="W5" s="128" t="str">
        <f>IF(E8&lt;&gt;0,IF(U5&lt;V5,"3",IF(U5&gt;V5,"0","1")),"")</f>
        <v/>
      </c>
      <c r="X5" s="134" t="str">
        <f>IF(E8&lt;&gt;0,I8," ")</f>
        <v xml:space="preserve"> </v>
      </c>
    </row>
    <row r="6" spans="1:24" x14ac:dyDescent="0.25">
      <c r="A6" s="298"/>
      <c r="B6" s="299"/>
      <c r="C6" s="111">
        <v>2</v>
      </c>
      <c r="D6" s="142" t="str">
        <f>CUADRANGULARES!O10</f>
        <v>RESTAURANTE GRAN CHINA</v>
      </c>
      <c r="E6" s="93"/>
      <c r="F6" s="94"/>
      <c r="G6" s="94"/>
      <c r="H6" s="95" t="str">
        <f>IF(E6&lt;&gt;0,IF(F6&lt;G6,"3",IF(F6&gt;G6,"0","1")),"")</f>
        <v/>
      </c>
      <c r="I6" s="95"/>
      <c r="J6" s="300" t="s">
        <v>66</v>
      </c>
      <c r="K6" s="301"/>
      <c r="L6" s="301"/>
      <c r="M6" s="301"/>
      <c r="N6" s="302"/>
      <c r="O6" s="136" t="str">
        <f>IF(J7&lt;&gt;0,J7," ")</f>
        <v xml:space="preserve"> </v>
      </c>
      <c r="P6" s="134" t="str">
        <f>IF(J7&lt;&gt;0,L7," ")</f>
        <v xml:space="preserve"> </v>
      </c>
      <c r="Q6" s="137" t="str">
        <f>IF(J7&lt;&gt;0,K7," ")</f>
        <v xml:space="preserve"> </v>
      </c>
      <c r="R6" s="128" t="str">
        <f>IF(J7&lt;&gt;0,IF(P6&lt;Q6,"3",IF(P6&gt;Q6,"0","1")),"")</f>
        <v/>
      </c>
      <c r="S6" s="134" t="str">
        <f>IF(J7&lt;&gt;0,N7," ")</f>
        <v xml:space="preserve"> </v>
      </c>
      <c r="T6" s="136" t="str">
        <f>IF(J8&lt;&gt;0,J8," ")</f>
        <v xml:space="preserve"> </v>
      </c>
      <c r="U6" s="134" t="str">
        <f>IF(J8&lt;&gt;0,L8," ")</f>
        <v xml:space="preserve"> </v>
      </c>
      <c r="V6" s="137" t="str">
        <f>IF(J8&lt;&gt;0,K8," ")</f>
        <v xml:space="preserve"> </v>
      </c>
      <c r="W6" s="128" t="str">
        <f>IF(J8&lt;&gt;0,IF(U6&lt;V6,"3",IF(U6&gt;V6,"0","1")),"")</f>
        <v/>
      </c>
      <c r="X6" s="134" t="str">
        <f>IF(J8&lt;&gt;0,N8," ")</f>
        <v xml:space="preserve"> </v>
      </c>
    </row>
    <row r="7" spans="1:24" x14ac:dyDescent="0.25">
      <c r="A7" s="298"/>
      <c r="B7" s="299"/>
      <c r="C7" s="111">
        <v>3</v>
      </c>
      <c r="D7" s="142" t="str">
        <f>CUADRANGULARES!O13</f>
        <v>PLATENSE</v>
      </c>
      <c r="E7" s="93"/>
      <c r="F7" s="94"/>
      <c r="G7" s="94"/>
      <c r="H7" s="95" t="str">
        <f t="shared" ref="H7:H8" si="0">IF(E7&lt;&gt;0,IF(F7&lt;G7,"3",IF(F7&gt;G7,"0","1")),"")</f>
        <v/>
      </c>
      <c r="I7" s="95"/>
      <c r="J7" s="93"/>
      <c r="K7" s="94"/>
      <c r="L7" s="94"/>
      <c r="M7" s="95" t="str">
        <f>IF(J7&lt;&gt;0,IF(K7&lt;L7,"3",IF(K7&gt;L7,"0","1")),"")</f>
        <v/>
      </c>
      <c r="N7" s="95"/>
      <c r="O7" s="300" t="s">
        <v>66</v>
      </c>
      <c r="P7" s="301"/>
      <c r="Q7" s="301"/>
      <c r="R7" s="301"/>
      <c r="S7" s="302"/>
      <c r="T7" s="136" t="str">
        <f>IF(O8&lt;&gt;0,O8," ")</f>
        <v xml:space="preserve"> </v>
      </c>
      <c r="U7" s="134" t="str">
        <f>IF(O8&lt;&gt;0,Q8," ")</f>
        <v xml:space="preserve"> </v>
      </c>
      <c r="V7" s="137" t="str">
        <f>IF(O8&lt;&gt;0,P8," ")</f>
        <v xml:space="preserve"> </v>
      </c>
      <c r="W7" s="128" t="str">
        <f>IF(O8&lt;&gt;0,IF(U7&lt;V7,"3",IF(U7&gt;V7,"0","1")),"")</f>
        <v/>
      </c>
      <c r="X7" s="134" t="str">
        <f>IF(O8&lt;&gt;0,S8," ")</f>
        <v xml:space="preserve"> </v>
      </c>
    </row>
    <row r="8" spans="1:24" x14ac:dyDescent="0.25">
      <c r="A8" s="298"/>
      <c r="B8" s="299"/>
      <c r="C8" s="111">
        <v>4</v>
      </c>
      <c r="D8" s="142" t="str">
        <f>CUADRANGULARES!O16</f>
        <v xml:space="preserve"> </v>
      </c>
      <c r="E8" s="93"/>
      <c r="F8" s="94"/>
      <c r="G8" s="94"/>
      <c r="H8" s="95" t="str">
        <f t="shared" si="0"/>
        <v/>
      </c>
      <c r="I8" s="95"/>
      <c r="J8" s="93"/>
      <c r="K8" s="94"/>
      <c r="L8" s="94"/>
      <c r="M8" s="95" t="str">
        <f t="shared" ref="M8" si="1">IF(J8&lt;&gt;0,IF(K8&lt;L8,"3",IF(K8&gt;L8,"0","1")),"")</f>
        <v/>
      </c>
      <c r="N8" s="95"/>
      <c r="O8" s="93"/>
      <c r="P8" s="94"/>
      <c r="Q8" s="94"/>
      <c r="R8" s="95" t="str">
        <f>IF(O8&lt;&gt;0,IF(P8&lt;Q8,"3",IF(P8&gt;Q8,"0","1")),"")</f>
        <v/>
      </c>
      <c r="S8" s="95"/>
      <c r="T8" s="300" t="s">
        <v>66</v>
      </c>
      <c r="U8" s="301"/>
      <c r="V8" s="301"/>
      <c r="W8" s="301"/>
      <c r="X8" s="302"/>
    </row>
  </sheetData>
  <sheetProtection algorithmName="SHA-512" hashValue="+bqNzT7wG4C/ei7rk3A+qQs9YoGzFew0cz1ZziDsEeourNtfRPoaYpGLIn9maXVyh0JL+1113neFam9KX+9M7w==" saltValue="//CKOvYGzC2C3F8pSMpXTQ==" spinCount="100000" sheet="1" formatCells="0" sort="0"/>
  <mergeCells count="18">
    <mergeCell ref="A5:B5"/>
    <mergeCell ref="A6:B6"/>
    <mergeCell ref="A7:B7"/>
    <mergeCell ref="A8:B8"/>
    <mergeCell ref="E5:I5"/>
    <mergeCell ref="J6:N6"/>
    <mergeCell ref="O7:S7"/>
    <mergeCell ref="T8:X8"/>
    <mergeCell ref="C3:C4"/>
    <mergeCell ref="D3:D4"/>
    <mergeCell ref="E3:I3"/>
    <mergeCell ref="J3:N3"/>
    <mergeCell ref="O3:S3"/>
    <mergeCell ref="T3:X3"/>
    <mergeCell ref="F4:G4"/>
    <mergeCell ref="K4:L4"/>
    <mergeCell ref="P4:Q4"/>
    <mergeCell ref="U4:V4"/>
  </mergeCells>
  <conditionalFormatting sqref="T7:V7 O6:Q6 E6:G6 E7:H8 I7:N7 I8:S8 J5:Q5 S5:V6 X5:X7 I6">
    <cfRule type="notContainsBlanks" dxfId="39" priority="5">
      <formula>LEN(TRIM(E5))&gt;0</formula>
    </cfRule>
  </conditionalFormatting>
  <conditionalFormatting sqref="J5:Q5 S5:U5">
    <cfRule type="notContainsBlanks" dxfId="38" priority="6">
      <formula>LEN(TRIM(J5))&gt;0</formula>
    </cfRule>
  </conditionalFormatting>
  <conditionalFormatting sqref="V5">
    <cfRule type="notContainsBlanks" dxfId="37" priority="4">
      <formula>LEN(TRIM(V5))&gt;0</formula>
    </cfRule>
  </conditionalFormatting>
  <conditionalFormatting sqref="R5:R6">
    <cfRule type="notContainsBlanks" dxfId="36" priority="3">
      <formula>LEN(TRIM(R5))&gt;0</formula>
    </cfRule>
  </conditionalFormatting>
  <conditionalFormatting sqref="W5:W7">
    <cfRule type="notContainsBlanks" dxfId="35" priority="2">
      <formula>LEN(TRIM(W5))&gt;0</formula>
    </cfRule>
  </conditionalFormatting>
  <conditionalFormatting sqref="H6">
    <cfRule type="notContainsBlanks" dxfId="34" priority="1">
      <formula>LEN(TRIM(H6))&gt;0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B5868-3D09-4D8A-8CDB-D7DE328FF8C6}">
  <sheetPr codeName="Hoja15"/>
  <dimension ref="C2:L13"/>
  <sheetViews>
    <sheetView showGridLines="0" zoomScale="90" zoomScaleNormal="90" workbookViewId="0"/>
  </sheetViews>
  <sheetFormatPr baseColWidth="10" defaultRowHeight="15" x14ac:dyDescent="0.25"/>
  <cols>
    <col min="1" max="1" width="11.42578125" style="96"/>
    <col min="2" max="2" width="5.7109375" style="96" customWidth="1"/>
    <col min="3" max="3" width="4.7109375" style="96" customWidth="1"/>
    <col min="4" max="4" width="60.7109375" style="96" customWidth="1"/>
    <col min="5" max="10" width="5.7109375" style="96" customWidth="1"/>
    <col min="11" max="11" width="5.7109375" style="141" customWidth="1"/>
    <col min="12" max="12" width="7.7109375" style="96" customWidth="1"/>
    <col min="13" max="13" width="11.42578125" style="96"/>
    <col min="14" max="14" width="4.140625" style="96" bestFit="1" customWidth="1"/>
    <col min="15" max="15" width="45.7109375" style="96" customWidth="1"/>
    <col min="16" max="16" width="4.28515625" style="96" bestFit="1" customWidth="1"/>
    <col min="17" max="17" width="5.140625" style="96" bestFit="1" customWidth="1"/>
    <col min="18" max="18" width="4.7109375" style="96" bestFit="1" customWidth="1"/>
    <col min="19" max="19" width="4.85546875" style="96" bestFit="1" customWidth="1"/>
    <col min="20" max="20" width="5" style="96" bestFit="1" customWidth="1"/>
    <col min="21" max="21" width="5.140625" style="96" bestFit="1" customWidth="1"/>
    <col min="22" max="22" width="5.42578125" style="96" bestFit="1" customWidth="1"/>
    <col min="23" max="23" width="7.140625" style="96" bestFit="1" customWidth="1"/>
    <col min="24" max="16384" width="11.42578125" style="96"/>
  </cols>
  <sheetData>
    <row r="2" spans="3:12" ht="15.75" thickBot="1" x14ac:dyDescent="0.3"/>
    <row r="3" spans="3:12" ht="19.5" thickBot="1" x14ac:dyDescent="0.35">
      <c r="D3" s="303" t="s">
        <v>123</v>
      </c>
      <c r="E3" s="304"/>
      <c r="F3" s="304"/>
      <c r="G3" s="304"/>
      <c r="H3" s="304"/>
      <c r="I3" s="304"/>
      <c r="J3" s="304"/>
      <c r="K3" s="304"/>
      <c r="L3" s="305"/>
    </row>
    <row r="4" spans="3:12" ht="19.5" thickBot="1" x14ac:dyDescent="0.35">
      <c r="D4" s="105" t="s">
        <v>16</v>
      </c>
      <c r="E4" s="135" t="s">
        <v>19</v>
      </c>
      <c r="F4" s="135" t="s">
        <v>20</v>
      </c>
      <c r="G4" s="135" t="s">
        <v>21</v>
      </c>
      <c r="H4" s="135" t="s">
        <v>22</v>
      </c>
      <c r="I4" s="135" t="s">
        <v>23</v>
      </c>
      <c r="J4" s="135" t="s">
        <v>24</v>
      </c>
      <c r="K4" s="135" t="s">
        <v>25</v>
      </c>
      <c r="L4" s="135" t="s">
        <v>26</v>
      </c>
    </row>
    <row r="5" spans="3:12" ht="19.5" thickBot="1" x14ac:dyDescent="0.35">
      <c r="C5" s="99">
        <v>1</v>
      </c>
      <c r="D5" s="100" t="str">
        <f>'4'!D5</f>
        <v>ABC JURIDICAS S.A.S ( A )</v>
      </c>
      <c r="E5" s="100">
        <f>COUNTA('4'!E6:E8)</f>
        <v>0</v>
      </c>
      <c r="F5" s="100">
        <f>COUNTIF('4'!$H$5:$H$8,3)</f>
        <v>0</v>
      </c>
      <c r="G5" s="100">
        <f>COUNTIF('4'!$H$5:$H$8,1)</f>
        <v>0</v>
      </c>
      <c r="H5" s="100">
        <f>COUNTIF('4'!$H$5:$H$8,0)</f>
        <v>0</v>
      </c>
      <c r="I5" s="103">
        <f>SUM('4'!$G$5:$G$8)</f>
        <v>0</v>
      </c>
      <c r="J5" s="103">
        <f>SUM('4'!$F$5:$F$8)</f>
        <v>0</v>
      </c>
      <c r="K5" s="100">
        <f>I5-J5</f>
        <v>0</v>
      </c>
      <c r="L5" s="100">
        <f>(F5*3)+G5</f>
        <v>0</v>
      </c>
    </row>
    <row r="6" spans="3:12" ht="19.5" thickBot="1" x14ac:dyDescent="0.35">
      <c r="C6" s="105">
        <v>2</v>
      </c>
      <c r="D6" s="100" t="str">
        <f>'4'!D6</f>
        <v>RESTAURANTE GRAN CHINA</v>
      </c>
      <c r="E6" s="100">
        <f>COUNTA('4'!E6,'4'!J7:J8)</f>
        <v>0</v>
      </c>
      <c r="F6" s="100">
        <f>COUNTIF('4'!$M$5:$M$8,3)</f>
        <v>0</v>
      </c>
      <c r="G6" s="100">
        <f>COUNTIF('4'!$M$5:$M$8,1)</f>
        <v>0</v>
      </c>
      <c r="H6" s="100">
        <f>COUNTIF('4'!$M$5:$M$8,0)</f>
        <v>0</v>
      </c>
      <c r="I6" s="103">
        <f>SUM('4'!$L$5:$L$8)</f>
        <v>0</v>
      </c>
      <c r="J6" s="103">
        <f>SUM('4'!$K$5:$K$8)</f>
        <v>0</v>
      </c>
      <c r="K6" s="100">
        <f>I6-J6</f>
        <v>0</v>
      </c>
      <c r="L6" s="100">
        <f>(F6*3)+G6</f>
        <v>0</v>
      </c>
    </row>
    <row r="7" spans="3:12" ht="19.5" thickBot="1" x14ac:dyDescent="0.35">
      <c r="C7" s="99">
        <v>3</v>
      </c>
      <c r="D7" s="100" t="str">
        <f>'4'!D7</f>
        <v>PLATENSE</v>
      </c>
      <c r="E7" s="100">
        <f>COUNTA('4'!E7,'4'!J7,'4'!O8)</f>
        <v>0</v>
      </c>
      <c r="F7" s="100">
        <f>COUNTIF('4'!$R$5:$R$8,3)</f>
        <v>0</v>
      </c>
      <c r="G7" s="100">
        <f>COUNTIF('4'!$R$5:$R$8,1)</f>
        <v>0</v>
      </c>
      <c r="H7" s="100">
        <f>COUNTIF('4'!$R$5:$R$8,0)</f>
        <v>0</v>
      </c>
      <c r="I7" s="103">
        <f>SUM('4'!$Q$5:$Q$8)</f>
        <v>0</v>
      </c>
      <c r="J7" s="103">
        <f>SUM('4'!$P$5:$P$8)</f>
        <v>0</v>
      </c>
      <c r="K7" s="100">
        <f>I7-J7</f>
        <v>0</v>
      </c>
      <c r="L7" s="100">
        <f>(F7*3)+G7</f>
        <v>0</v>
      </c>
    </row>
    <row r="8" spans="3:12" ht="19.5" thickBot="1" x14ac:dyDescent="0.35">
      <c r="C8" s="105">
        <v>4</v>
      </c>
      <c r="D8" s="100" t="str">
        <f>'4'!D8</f>
        <v xml:space="preserve"> </v>
      </c>
      <c r="E8" s="100">
        <f>COUNTA('4'!E8,'4'!J8,'4'!O8)</f>
        <v>0</v>
      </c>
      <c r="F8" s="100">
        <f>COUNTIF('4'!$W$5:$W$8,3)</f>
        <v>0</v>
      </c>
      <c r="G8" s="100">
        <f>COUNTIF('4'!$W$5:$W$8,1)</f>
        <v>0</v>
      </c>
      <c r="H8" s="100">
        <f>COUNTIF('4'!$W$5:$W$8,0)</f>
        <v>0</v>
      </c>
      <c r="I8" s="103">
        <f>SUM('4'!$V$5:$V$8)</f>
        <v>0</v>
      </c>
      <c r="J8" s="103">
        <f>SUM('4'!$U$5:$U$8)</f>
        <v>0</v>
      </c>
      <c r="K8" s="100">
        <f>I8-J8</f>
        <v>0</v>
      </c>
      <c r="L8" s="100">
        <f>(F8*3)+G8</f>
        <v>0</v>
      </c>
    </row>
    <row r="9" spans="3:12" x14ac:dyDescent="0.25">
      <c r="E9" s="96">
        <f>SUM(E5:E8)/2</f>
        <v>0</v>
      </c>
      <c r="F9" s="96">
        <f>SUM(F5:F8)</f>
        <v>0</v>
      </c>
      <c r="G9" s="96">
        <f>SUM(G5:G8)/2</f>
        <v>0</v>
      </c>
      <c r="H9" s="96">
        <f>SUM(H5:H8)</f>
        <v>0</v>
      </c>
      <c r="I9" s="96">
        <f>SUM(I5:I8)</f>
        <v>0</v>
      </c>
      <c r="J9" s="96">
        <f>SUM(J5:J8)</f>
        <v>0</v>
      </c>
    </row>
    <row r="11" spans="3:12" ht="18.75" x14ac:dyDescent="0.3">
      <c r="D11" s="306"/>
      <c r="E11" s="306"/>
      <c r="F11" s="306"/>
      <c r="G11" s="306"/>
      <c r="H11" s="306"/>
      <c r="I11" s="306"/>
      <c r="J11" s="306"/>
      <c r="K11" s="306"/>
      <c r="L11" s="306"/>
    </row>
    <row r="13" spans="3:12" x14ac:dyDescent="0.25">
      <c r="D13" s="307"/>
      <c r="E13" s="307"/>
      <c r="F13" s="307"/>
      <c r="G13" s="307"/>
      <c r="H13" s="307"/>
      <c r="I13" s="307"/>
      <c r="J13" s="307"/>
      <c r="K13" s="307"/>
      <c r="L13" s="307"/>
    </row>
  </sheetData>
  <sheetProtection algorithmName="SHA-512" hashValue="11V7xjgP1XqaAcP4DFRaBbO/RQaXeyJiLAMwCQVDE6sy9n8HkHXQpYPtqyAF2En4wgBzkiqFw1sQMIIXwlTOOg==" saltValue="+d/P9RODFFXz6BvRZJKlwQ==" spinCount="100000" sheet="1" sort="0"/>
  <sortState ref="D5:L8">
    <sortCondition descending="1" ref="L5:L8"/>
    <sortCondition descending="1" ref="K5:K8"/>
    <sortCondition ref="E5:E8"/>
    <sortCondition descending="1" ref="I5:I8"/>
    <sortCondition ref="J5:J8"/>
  </sortState>
  <mergeCells count="3">
    <mergeCell ref="D3:L3"/>
    <mergeCell ref="D11:L11"/>
    <mergeCell ref="D13:L13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945D2-375A-4E8B-9ACF-AC4BBB91E481}">
  <sheetPr codeName="Hoja32"/>
  <dimension ref="A3:X8"/>
  <sheetViews>
    <sheetView showGridLines="0" zoomScale="90" zoomScaleNormal="90" workbookViewId="0"/>
  </sheetViews>
  <sheetFormatPr baseColWidth="10" defaultRowHeight="15" x14ac:dyDescent="0.25"/>
  <cols>
    <col min="1" max="2" width="11.42578125" style="96"/>
    <col min="3" max="3" width="3.28515625" style="96" customWidth="1"/>
    <col min="4" max="4" width="30.7109375" style="96" customWidth="1"/>
    <col min="5" max="5" width="10.7109375" style="96" customWidth="1"/>
    <col min="6" max="7" width="5.7109375" style="96" customWidth="1"/>
    <col min="8" max="8" width="11.42578125" style="96" hidden="1" customWidth="1"/>
    <col min="9" max="10" width="10.7109375" style="96" customWidth="1"/>
    <col min="11" max="12" width="5.7109375" style="96" customWidth="1"/>
    <col min="13" max="13" width="11.42578125" style="96" hidden="1" customWidth="1"/>
    <col min="14" max="15" width="10.7109375" style="96" customWidth="1"/>
    <col min="16" max="17" width="5.7109375" style="96" customWidth="1"/>
    <col min="18" max="18" width="11.42578125" style="96" hidden="1" customWidth="1"/>
    <col min="19" max="20" width="10.7109375" style="96" customWidth="1"/>
    <col min="21" max="22" width="5.7109375" style="96" customWidth="1"/>
    <col min="23" max="23" width="11.42578125" style="96" hidden="1" customWidth="1"/>
    <col min="24" max="24" width="10.7109375" style="96" customWidth="1"/>
    <col min="25" max="25" width="5.7109375" style="96" customWidth="1"/>
    <col min="26" max="26" width="45.7109375" style="96" customWidth="1"/>
    <col min="27" max="27" width="4.28515625" style="96" bestFit="1" customWidth="1"/>
    <col min="28" max="28" width="5.140625" style="96" bestFit="1" customWidth="1"/>
    <col min="29" max="29" width="4.7109375" style="96" bestFit="1" customWidth="1"/>
    <col min="30" max="30" width="4.85546875" style="96" bestFit="1" customWidth="1"/>
    <col min="31" max="31" width="5" style="96" bestFit="1" customWidth="1"/>
    <col min="32" max="32" width="5.140625" style="96" bestFit="1" customWidth="1"/>
    <col min="33" max="33" width="5.42578125" style="96" bestFit="1" customWidth="1"/>
    <col min="34" max="34" width="7.140625" style="96" bestFit="1" customWidth="1"/>
    <col min="35" max="16384" width="11.42578125" style="96"/>
  </cols>
  <sheetData>
    <row r="3" spans="1:24" x14ac:dyDescent="0.25">
      <c r="C3" s="294" t="s">
        <v>37</v>
      </c>
      <c r="D3" s="296" t="s">
        <v>124</v>
      </c>
      <c r="E3" s="289" t="str">
        <f>D5</f>
        <v>ESTAMPADOS SANTI</v>
      </c>
      <c r="F3" s="290"/>
      <c r="G3" s="290"/>
      <c r="H3" s="290"/>
      <c r="I3" s="291"/>
      <c r="J3" s="289" t="str">
        <f>D6</f>
        <v>SURTIYA</v>
      </c>
      <c r="K3" s="290"/>
      <c r="L3" s="290"/>
      <c r="M3" s="290"/>
      <c r="N3" s="291"/>
      <c r="O3" s="289" t="str">
        <f>D7</f>
        <v xml:space="preserve"> </v>
      </c>
      <c r="P3" s="290"/>
      <c r="Q3" s="290"/>
      <c r="R3" s="290"/>
      <c r="S3" s="291"/>
      <c r="T3" s="289" t="str">
        <f>D8</f>
        <v xml:space="preserve"> </v>
      </c>
      <c r="U3" s="290"/>
      <c r="V3" s="290"/>
      <c r="W3" s="290"/>
      <c r="X3" s="291"/>
    </row>
    <row r="4" spans="1:24" x14ac:dyDescent="0.25">
      <c r="C4" s="295"/>
      <c r="D4" s="297"/>
      <c r="E4" s="129" t="s">
        <v>67</v>
      </c>
      <c r="F4" s="292" t="s">
        <v>69</v>
      </c>
      <c r="G4" s="293"/>
      <c r="H4" s="140"/>
      <c r="I4" s="130" t="s">
        <v>68</v>
      </c>
      <c r="J4" s="131" t="s">
        <v>67</v>
      </c>
      <c r="K4" s="292" t="s">
        <v>69</v>
      </c>
      <c r="L4" s="293"/>
      <c r="M4" s="140"/>
      <c r="N4" s="130" t="s">
        <v>68</v>
      </c>
      <c r="O4" s="131" t="s">
        <v>67</v>
      </c>
      <c r="P4" s="292" t="s">
        <v>69</v>
      </c>
      <c r="Q4" s="293"/>
      <c r="R4" s="140"/>
      <c r="S4" s="130" t="s">
        <v>68</v>
      </c>
      <c r="T4" s="131" t="s">
        <v>67</v>
      </c>
      <c r="U4" s="292" t="s">
        <v>69</v>
      </c>
      <c r="V4" s="293"/>
      <c r="W4" s="140"/>
      <c r="X4" s="130" t="s">
        <v>68</v>
      </c>
    </row>
    <row r="5" spans="1:24" x14ac:dyDescent="0.25">
      <c r="A5" s="298"/>
      <c r="B5" s="299"/>
      <c r="C5" s="111">
        <v>1</v>
      </c>
      <c r="D5" s="142" t="str">
        <f>CUADRANGULARES!I22</f>
        <v>ESTAMPADOS SANTI</v>
      </c>
      <c r="E5" s="300" t="s">
        <v>66</v>
      </c>
      <c r="F5" s="301"/>
      <c r="G5" s="301"/>
      <c r="H5" s="301"/>
      <c r="I5" s="302"/>
      <c r="J5" s="132" t="str">
        <f>IF(E6&lt;&gt;0,E6," ")</f>
        <v xml:space="preserve"> </v>
      </c>
      <c r="K5" s="133" t="str">
        <f>IF(E6&lt;&gt;0,G6, " ")</f>
        <v xml:space="preserve"> </v>
      </c>
      <c r="L5" s="133" t="str">
        <f>IF(E6&lt;&gt;0,F6," ")</f>
        <v xml:space="preserve"> </v>
      </c>
      <c r="M5" s="128" t="str">
        <f>IF(E6&lt;&gt;0,IF(K5&lt;L5,"3",IF(K5&gt;L5,"0","1")),"")</f>
        <v/>
      </c>
      <c r="N5" s="133" t="str">
        <f>IF(E6&lt;&gt;0,I6," ")</f>
        <v xml:space="preserve"> </v>
      </c>
      <c r="O5" s="132" t="str">
        <f>IF(E7&lt;&gt;0,E7," ")</f>
        <v xml:space="preserve"> </v>
      </c>
      <c r="P5" s="133" t="str">
        <f>IF(E7&lt;&gt;0,G7," ")</f>
        <v xml:space="preserve"> </v>
      </c>
      <c r="Q5" s="133" t="str">
        <f>IF(E7&lt;&gt;0,F7," ")</f>
        <v xml:space="preserve"> </v>
      </c>
      <c r="R5" s="128" t="str">
        <f>IF(E7&lt;&gt;0,IF(P5&lt;Q5,"3",IF(P5&gt;Q5,"0","1")),"")</f>
        <v/>
      </c>
      <c r="S5" s="133" t="str">
        <f>IF(E7&lt;&gt;0,I7," ")</f>
        <v xml:space="preserve"> </v>
      </c>
      <c r="T5" s="132" t="str">
        <f>IF(E8&lt;&gt;0,E8," ")</f>
        <v xml:space="preserve"> </v>
      </c>
      <c r="U5" s="133" t="str">
        <f>IF(E8&lt;&gt;0,G8," ")</f>
        <v xml:space="preserve"> </v>
      </c>
      <c r="V5" s="133" t="str">
        <f>IF(E8&lt;&gt;0,F8," ")</f>
        <v xml:space="preserve"> </v>
      </c>
      <c r="W5" s="128" t="str">
        <f>IF(E8&lt;&gt;0,IF(U5&lt;V5,"3",IF(U5&gt;V5,"0","1")),"")</f>
        <v/>
      </c>
      <c r="X5" s="134" t="str">
        <f>IF(E8&lt;&gt;0,I8," ")</f>
        <v xml:space="preserve"> </v>
      </c>
    </row>
    <row r="6" spans="1:24" x14ac:dyDescent="0.25">
      <c r="A6" s="298"/>
      <c r="B6" s="299"/>
      <c r="C6" s="111">
        <v>2</v>
      </c>
      <c r="D6" s="142" t="str">
        <f>CUADRANGULARES!I25</f>
        <v>SURTIYA</v>
      </c>
      <c r="E6" s="93"/>
      <c r="F6" s="94"/>
      <c r="G6" s="94"/>
      <c r="H6" s="95" t="str">
        <f>IF(E6&lt;&gt;0,IF(F6&lt;G6,"3",IF(F6&gt;G6,"0","1")),"")</f>
        <v/>
      </c>
      <c r="I6" s="95"/>
      <c r="J6" s="300" t="s">
        <v>66</v>
      </c>
      <c r="K6" s="301"/>
      <c r="L6" s="301"/>
      <c r="M6" s="301"/>
      <c r="N6" s="302"/>
      <c r="O6" s="136" t="str">
        <f>IF(J7&lt;&gt;0,J7," ")</f>
        <v xml:space="preserve"> </v>
      </c>
      <c r="P6" s="134" t="str">
        <f>IF(J7&lt;&gt;0,L7," ")</f>
        <v xml:space="preserve"> </v>
      </c>
      <c r="Q6" s="137" t="str">
        <f>IF(J7&lt;&gt;0,K7," ")</f>
        <v xml:space="preserve"> </v>
      </c>
      <c r="R6" s="128" t="str">
        <f>IF(J7&lt;&gt;0,IF(P6&lt;Q6,"3",IF(P6&gt;Q6,"0","1")),"")</f>
        <v/>
      </c>
      <c r="S6" s="134" t="str">
        <f>IF(J7&lt;&gt;0,N7," ")</f>
        <v xml:space="preserve"> </v>
      </c>
      <c r="T6" s="136" t="str">
        <f>IF(J8&lt;&gt;0,J8," ")</f>
        <v xml:space="preserve"> </v>
      </c>
      <c r="U6" s="134" t="str">
        <f>IF(J8&lt;&gt;0,L8," ")</f>
        <v xml:space="preserve"> </v>
      </c>
      <c r="V6" s="137" t="str">
        <f>IF(J8&lt;&gt;0,K8," ")</f>
        <v xml:space="preserve"> </v>
      </c>
      <c r="W6" s="128" t="str">
        <f>IF(J8&lt;&gt;0,IF(U6&lt;V6,"3",IF(U6&gt;V6,"0","1")),"")</f>
        <v/>
      </c>
      <c r="X6" s="134" t="str">
        <f>IF(J8&lt;&gt;0,N8," ")</f>
        <v xml:space="preserve"> </v>
      </c>
    </row>
    <row r="7" spans="1:24" x14ac:dyDescent="0.25">
      <c r="A7" s="298"/>
      <c r="B7" s="299"/>
      <c r="C7" s="111">
        <v>3</v>
      </c>
      <c r="D7" s="142" t="str">
        <f>CUADRANGULARES!I28</f>
        <v xml:space="preserve"> </v>
      </c>
      <c r="E7" s="93"/>
      <c r="F7" s="94"/>
      <c r="G7" s="94"/>
      <c r="H7" s="95" t="str">
        <f t="shared" ref="H7:H8" si="0">IF(E7&lt;&gt;0,IF(F7&lt;G7,"3",IF(F7&gt;G7,"0","1")),"")</f>
        <v/>
      </c>
      <c r="I7" s="95"/>
      <c r="J7" s="93"/>
      <c r="K7" s="94"/>
      <c r="L7" s="94"/>
      <c r="M7" s="95" t="str">
        <f>IF(J7&lt;&gt;0,IF(K7&lt;L7,"3",IF(K7&gt;L7,"0","1")),"")</f>
        <v/>
      </c>
      <c r="N7" s="95"/>
      <c r="O7" s="300" t="s">
        <v>66</v>
      </c>
      <c r="P7" s="301"/>
      <c r="Q7" s="301"/>
      <c r="R7" s="301"/>
      <c r="S7" s="302"/>
      <c r="T7" s="136" t="str">
        <f>IF(O8&lt;&gt;0,O8," ")</f>
        <v xml:space="preserve"> </v>
      </c>
      <c r="U7" s="134" t="str">
        <f>IF(O8&lt;&gt;0,Q8," ")</f>
        <v xml:space="preserve"> </v>
      </c>
      <c r="V7" s="137" t="str">
        <f>IF(O8&lt;&gt;0,P8," ")</f>
        <v xml:space="preserve"> </v>
      </c>
      <c r="W7" s="128" t="str">
        <f>IF(O8&lt;&gt;0,IF(U7&lt;V7,"3",IF(U7&gt;V7,"0","1")),"")</f>
        <v/>
      </c>
      <c r="X7" s="134" t="str">
        <f>IF(O8&lt;&gt;0,S8," ")</f>
        <v xml:space="preserve"> </v>
      </c>
    </row>
    <row r="8" spans="1:24" x14ac:dyDescent="0.25">
      <c r="A8" s="298"/>
      <c r="B8" s="299"/>
      <c r="C8" s="111">
        <v>4</v>
      </c>
      <c r="D8" s="142" t="str">
        <f>CUADRANGULARES!I31</f>
        <v xml:space="preserve"> </v>
      </c>
      <c r="E8" s="93"/>
      <c r="F8" s="94"/>
      <c r="G8" s="94"/>
      <c r="H8" s="95" t="str">
        <f t="shared" si="0"/>
        <v/>
      </c>
      <c r="I8" s="95"/>
      <c r="J8" s="93"/>
      <c r="K8" s="94"/>
      <c r="L8" s="94"/>
      <c r="M8" s="95" t="str">
        <f t="shared" ref="M8" si="1">IF(J8&lt;&gt;0,IF(K8&lt;L8,"3",IF(K8&gt;L8,"0","1")),"")</f>
        <v/>
      </c>
      <c r="N8" s="95"/>
      <c r="O8" s="93"/>
      <c r="P8" s="94"/>
      <c r="Q8" s="94"/>
      <c r="R8" s="95" t="str">
        <f>IF(O8&lt;&gt;0,IF(P8&lt;Q8,"3",IF(P8&gt;Q8,"0","1")),"")</f>
        <v/>
      </c>
      <c r="S8" s="95"/>
      <c r="T8" s="300" t="s">
        <v>66</v>
      </c>
      <c r="U8" s="301"/>
      <c r="V8" s="301"/>
      <c r="W8" s="301"/>
      <c r="X8" s="302"/>
    </row>
  </sheetData>
  <sheetProtection algorithmName="SHA-512" hashValue="X+lPFm6GUEt/QOuyQVW5OhXlsReQjBE4nwQ9an6hraBX+b6ADu3j3Xe772Pi4YPoaJ6LDY5ptY+susyqdcmoxg==" saltValue="6D+R00c7xLBLJa6dDC20HA==" spinCount="100000" sheet="1" formatCells="0" sort="0"/>
  <mergeCells count="18">
    <mergeCell ref="A5:B5"/>
    <mergeCell ref="A6:B6"/>
    <mergeCell ref="A7:B7"/>
    <mergeCell ref="A8:B8"/>
    <mergeCell ref="E5:I5"/>
    <mergeCell ref="J6:N6"/>
    <mergeCell ref="O7:S7"/>
    <mergeCell ref="T8:X8"/>
    <mergeCell ref="C3:C4"/>
    <mergeCell ref="D3:D4"/>
    <mergeCell ref="E3:I3"/>
    <mergeCell ref="J3:N3"/>
    <mergeCell ref="O3:S3"/>
    <mergeCell ref="T3:X3"/>
    <mergeCell ref="F4:G4"/>
    <mergeCell ref="K4:L4"/>
    <mergeCell ref="P4:Q4"/>
    <mergeCell ref="U4:V4"/>
  </mergeCells>
  <conditionalFormatting sqref="T7:V7 O6:Q6 E6:G6 E7:H8 I7:N7 I8:S8 J5:Q5 S5:V6 X5:X7 I6">
    <cfRule type="notContainsBlanks" dxfId="33" priority="5">
      <formula>LEN(TRIM(E5))&gt;0</formula>
    </cfRule>
  </conditionalFormatting>
  <conditionalFormatting sqref="J5:Q5 S5:U5">
    <cfRule type="notContainsBlanks" dxfId="32" priority="6">
      <formula>LEN(TRIM(J5))&gt;0</formula>
    </cfRule>
  </conditionalFormatting>
  <conditionalFormatting sqref="V5">
    <cfRule type="notContainsBlanks" dxfId="31" priority="4">
      <formula>LEN(TRIM(V5))&gt;0</formula>
    </cfRule>
  </conditionalFormatting>
  <conditionalFormatting sqref="R5:R6">
    <cfRule type="notContainsBlanks" dxfId="30" priority="3">
      <formula>LEN(TRIM(R5))&gt;0</formula>
    </cfRule>
  </conditionalFormatting>
  <conditionalFormatting sqref="W5:W7">
    <cfRule type="notContainsBlanks" dxfId="29" priority="2">
      <formula>LEN(TRIM(W5))&gt;0</formula>
    </cfRule>
  </conditionalFormatting>
  <conditionalFormatting sqref="H6">
    <cfRule type="notContainsBlanks" dxfId="28" priority="1">
      <formula>LEN(TRIM(H6))&gt;0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0AEA7-31C0-4406-96B3-424445BF8F88}">
  <sheetPr codeName="Hoja16"/>
  <dimension ref="C2:L13"/>
  <sheetViews>
    <sheetView showGridLines="0" zoomScale="90" zoomScaleNormal="90" workbookViewId="0"/>
  </sheetViews>
  <sheetFormatPr baseColWidth="10" defaultRowHeight="15" x14ac:dyDescent="0.25"/>
  <cols>
    <col min="1" max="1" width="11.42578125" style="96"/>
    <col min="2" max="2" width="5.7109375" style="96" customWidth="1"/>
    <col min="3" max="3" width="4.7109375" style="96" customWidth="1"/>
    <col min="4" max="4" width="60.7109375" style="96" customWidth="1"/>
    <col min="5" max="10" width="5.7109375" style="96" customWidth="1"/>
    <col min="11" max="11" width="5.7109375" style="141" customWidth="1"/>
    <col min="12" max="12" width="7.7109375" style="96" customWidth="1"/>
    <col min="13" max="13" width="11.42578125" style="96"/>
    <col min="14" max="14" width="4.140625" style="96" bestFit="1" customWidth="1"/>
    <col min="15" max="15" width="45.7109375" style="96" customWidth="1"/>
    <col min="16" max="16" width="4.28515625" style="96" bestFit="1" customWidth="1"/>
    <col min="17" max="17" width="5.140625" style="96" bestFit="1" customWidth="1"/>
    <col min="18" max="18" width="4.7109375" style="96" bestFit="1" customWidth="1"/>
    <col min="19" max="19" width="4.85546875" style="96" bestFit="1" customWidth="1"/>
    <col min="20" max="20" width="5" style="96" bestFit="1" customWidth="1"/>
    <col min="21" max="21" width="5.140625" style="96" bestFit="1" customWidth="1"/>
    <col min="22" max="22" width="5.42578125" style="96" bestFit="1" customWidth="1"/>
    <col min="23" max="23" width="7.140625" style="96" bestFit="1" customWidth="1"/>
    <col min="24" max="16384" width="11.42578125" style="96"/>
  </cols>
  <sheetData>
    <row r="2" spans="3:12" ht="15.75" thickBot="1" x14ac:dyDescent="0.3"/>
    <row r="3" spans="3:12" ht="19.5" thickBot="1" x14ac:dyDescent="0.35">
      <c r="D3" s="303" t="s">
        <v>124</v>
      </c>
      <c r="E3" s="304"/>
      <c r="F3" s="304"/>
      <c r="G3" s="304"/>
      <c r="H3" s="304"/>
      <c r="I3" s="304"/>
      <c r="J3" s="304"/>
      <c r="K3" s="304"/>
      <c r="L3" s="305"/>
    </row>
    <row r="4" spans="3:12" ht="19.5" thickBot="1" x14ac:dyDescent="0.35">
      <c r="D4" s="105" t="s">
        <v>16</v>
      </c>
      <c r="E4" s="135" t="s">
        <v>19</v>
      </c>
      <c r="F4" s="135" t="s">
        <v>20</v>
      </c>
      <c r="G4" s="135" t="s">
        <v>21</v>
      </c>
      <c r="H4" s="135" t="s">
        <v>22</v>
      </c>
      <c r="I4" s="135" t="s">
        <v>23</v>
      </c>
      <c r="J4" s="135" t="s">
        <v>24</v>
      </c>
      <c r="K4" s="135" t="s">
        <v>25</v>
      </c>
      <c r="L4" s="135" t="s">
        <v>26</v>
      </c>
    </row>
    <row r="5" spans="3:12" ht="19.5" thickBot="1" x14ac:dyDescent="0.35">
      <c r="C5" s="99">
        <v>1</v>
      </c>
      <c r="D5" s="100" t="str">
        <f>'5'!D5</f>
        <v>ESTAMPADOS SANTI</v>
      </c>
      <c r="E5" s="100">
        <f>COUNTA('5'!E6:E8)</f>
        <v>0</v>
      </c>
      <c r="F5" s="100">
        <f>COUNTIF('5'!$H$5:$H$8,3)</f>
        <v>0</v>
      </c>
      <c r="G5" s="100">
        <f>COUNTIF('5'!$H$5:$H$8,1)</f>
        <v>0</v>
      </c>
      <c r="H5" s="100">
        <f>COUNTIF('5'!$H$5:$H$8,0)</f>
        <v>0</v>
      </c>
      <c r="I5" s="103">
        <f>SUM('5'!$G$5:$G$8)</f>
        <v>0</v>
      </c>
      <c r="J5" s="103">
        <f>SUM('5'!$F$5:$F$8)</f>
        <v>0</v>
      </c>
      <c r="K5" s="100">
        <f>I5-J5</f>
        <v>0</v>
      </c>
      <c r="L5" s="100">
        <f>(F5*3)+G5</f>
        <v>0</v>
      </c>
    </row>
    <row r="6" spans="3:12" ht="19.5" thickBot="1" x14ac:dyDescent="0.35">
      <c r="C6" s="105">
        <v>2</v>
      </c>
      <c r="D6" s="100" t="str">
        <f>'5'!D6</f>
        <v>SURTIYA</v>
      </c>
      <c r="E6" s="100">
        <f>COUNTA('5'!E6,'5'!J7:J8)</f>
        <v>0</v>
      </c>
      <c r="F6" s="100">
        <f>COUNTIF('5'!$M$5:$M$8,3)</f>
        <v>0</v>
      </c>
      <c r="G6" s="100">
        <f>COUNTIF('5'!$M$5:$M$8,1)</f>
        <v>0</v>
      </c>
      <c r="H6" s="100">
        <f>COUNTIF('5'!$M$5:$M$8,0)</f>
        <v>0</v>
      </c>
      <c r="I6" s="103">
        <f>SUM('5'!$L$5:$L$8)</f>
        <v>0</v>
      </c>
      <c r="J6" s="103">
        <f>SUM('5'!$K$5:$K$8)</f>
        <v>0</v>
      </c>
      <c r="K6" s="100">
        <f>I6-J6</f>
        <v>0</v>
      </c>
      <c r="L6" s="100">
        <f>(F6*3)+G6</f>
        <v>0</v>
      </c>
    </row>
    <row r="7" spans="3:12" ht="19.5" thickBot="1" x14ac:dyDescent="0.35">
      <c r="C7" s="99">
        <v>3</v>
      </c>
      <c r="D7" s="100" t="str">
        <f>'5'!D7</f>
        <v xml:space="preserve"> </v>
      </c>
      <c r="E7" s="100">
        <f>COUNTA('5'!E7,'5'!J7,'5'!O8)</f>
        <v>0</v>
      </c>
      <c r="F7" s="100">
        <f>COUNTIF('5'!$R$5:$R$8,3)</f>
        <v>0</v>
      </c>
      <c r="G7" s="100">
        <f>COUNTIF('5'!$R$5:$R$8,1)</f>
        <v>0</v>
      </c>
      <c r="H7" s="100">
        <f>COUNTIF('5'!$R$5:$R$8,0)</f>
        <v>0</v>
      </c>
      <c r="I7" s="103">
        <f>SUM('5'!$Q$5:$Q$8)</f>
        <v>0</v>
      </c>
      <c r="J7" s="103">
        <f>SUM('5'!$P$5:$P$8)</f>
        <v>0</v>
      </c>
      <c r="K7" s="100">
        <f>I7-J7</f>
        <v>0</v>
      </c>
      <c r="L7" s="100">
        <f>(F7*3)+G7</f>
        <v>0</v>
      </c>
    </row>
    <row r="8" spans="3:12" ht="19.5" thickBot="1" x14ac:dyDescent="0.35">
      <c r="C8" s="105">
        <v>4</v>
      </c>
      <c r="D8" s="100" t="str">
        <f>'5'!D8</f>
        <v xml:space="preserve"> </v>
      </c>
      <c r="E8" s="100">
        <f>COUNTA('5'!E8,'5'!J8,'5'!O8)</f>
        <v>0</v>
      </c>
      <c r="F8" s="100">
        <f>COUNTIF('5'!$W$5:$W$8,3)</f>
        <v>0</v>
      </c>
      <c r="G8" s="100">
        <f>COUNTIF('5'!$W$5:$W$8,1)</f>
        <v>0</v>
      </c>
      <c r="H8" s="100">
        <f>COUNTIF('5'!$W$5:$W$8,0)</f>
        <v>0</v>
      </c>
      <c r="I8" s="103">
        <f>SUM('5'!$V$5:$V$8)</f>
        <v>0</v>
      </c>
      <c r="J8" s="103">
        <f>SUM('5'!$U$5:$U$8)</f>
        <v>0</v>
      </c>
      <c r="K8" s="100">
        <f>I8-J8</f>
        <v>0</v>
      </c>
      <c r="L8" s="100">
        <f>(F8*3)+G8</f>
        <v>0</v>
      </c>
    </row>
    <row r="9" spans="3:12" x14ac:dyDescent="0.25">
      <c r="E9" s="96">
        <f>SUM(E5:E8)/2</f>
        <v>0</v>
      </c>
      <c r="F9" s="96">
        <f>SUM(F5:F8)</f>
        <v>0</v>
      </c>
      <c r="G9" s="96">
        <f>SUM(G5:G8)/2</f>
        <v>0</v>
      </c>
      <c r="H9" s="96">
        <f>SUM(H5:H8)</f>
        <v>0</v>
      </c>
      <c r="I9" s="96">
        <f>SUM(I5:I8)</f>
        <v>0</v>
      </c>
      <c r="J9" s="96">
        <f>SUM(J5:J8)</f>
        <v>0</v>
      </c>
    </row>
    <row r="11" spans="3:12" ht="18.75" x14ac:dyDescent="0.3">
      <c r="D11" s="306"/>
      <c r="E11" s="306"/>
      <c r="F11" s="306"/>
      <c r="G11" s="306"/>
      <c r="H11" s="306"/>
      <c r="I11" s="306"/>
      <c r="J11" s="306"/>
      <c r="K11" s="306"/>
      <c r="L11" s="306"/>
    </row>
    <row r="13" spans="3:12" x14ac:dyDescent="0.25">
      <c r="D13" s="307"/>
      <c r="E13" s="307"/>
      <c r="F13" s="307"/>
      <c r="G13" s="307"/>
      <c r="H13" s="307"/>
      <c r="I13" s="307"/>
      <c r="J13" s="307"/>
      <c r="K13" s="307"/>
      <c r="L13" s="307"/>
    </row>
  </sheetData>
  <sheetProtection algorithmName="SHA-512" hashValue="wgsoh8a6gUSH2toHhxB5+4VX2v5AX77Z2W3gpa0L0/M++8YCpjuKZbPaKlmn4h2o/jEbLDAx/j10k7DpApOq3A==" saltValue="eruubQ2luyTkeTU4+9mq9g==" spinCount="100000" sheet="1" sort="0"/>
  <sortState ref="D5:L8">
    <sortCondition descending="1" ref="L5:L8"/>
    <sortCondition descending="1" ref="K5:K8"/>
    <sortCondition ref="E5:E8"/>
    <sortCondition descending="1" ref="I5:I8"/>
    <sortCondition ref="J5:J8"/>
  </sortState>
  <mergeCells count="3">
    <mergeCell ref="D3:L3"/>
    <mergeCell ref="D11:L11"/>
    <mergeCell ref="D13:L13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6726A-0D9E-4C8F-AF30-5B7862050FB2}">
  <sheetPr codeName="Hoja33"/>
  <dimension ref="A3:X8"/>
  <sheetViews>
    <sheetView showGridLines="0" zoomScale="90" zoomScaleNormal="90" workbookViewId="0"/>
  </sheetViews>
  <sheetFormatPr baseColWidth="10" defaultRowHeight="15" x14ac:dyDescent="0.25"/>
  <cols>
    <col min="1" max="2" width="11.42578125" style="96"/>
    <col min="3" max="3" width="3.28515625" style="96" customWidth="1"/>
    <col min="4" max="4" width="30.7109375" style="96" customWidth="1"/>
    <col min="5" max="5" width="10.7109375" style="96" customWidth="1"/>
    <col min="6" max="7" width="5.7109375" style="96" customWidth="1"/>
    <col min="8" max="8" width="11.42578125" style="96" hidden="1" customWidth="1"/>
    <col min="9" max="10" width="10.7109375" style="96" customWidth="1"/>
    <col min="11" max="12" width="5.7109375" style="96" customWidth="1"/>
    <col min="13" max="13" width="11.42578125" style="96" hidden="1" customWidth="1"/>
    <col min="14" max="15" width="10.7109375" style="96" customWidth="1"/>
    <col min="16" max="17" width="5.7109375" style="96" customWidth="1"/>
    <col min="18" max="18" width="11.42578125" style="96" hidden="1" customWidth="1"/>
    <col min="19" max="20" width="10.7109375" style="96" customWidth="1"/>
    <col min="21" max="22" width="5.7109375" style="96" customWidth="1"/>
    <col min="23" max="23" width="11.42578125" style="96" hidden="1" customWidth="1"/>
    <col min="24" max="24" width="10.7109375" style="96" customWidth="1"/>
    <col min="25" max="25" width="5.7109375" style="96" customWidth="1"/>
    <col min="26" max="26" width="45.7109375" style="96" customWidth="1"/>
    <col min="27" max="27" width="4.28515625" style="96" bestFit="1" customWidth="1"/>
    <col min="28" max="28" width="5.140625" style="96" bestFit="1" customWidth="1"/>
    <col min="29" max="29" width="4.7109375" style="96" bestFit="1" customWidth="1"/>
    <col min="30" max="30" width="4.85546875" style="96" bestFit="1" customWidth="1"/>
    <col min="31" max="31" width="5" style="96" bestFit="1" customWidth="1"/>
    <col min="32" max="32" width="5.140625" style="96" bestFit="1" customWidth="1"/>
    <col min="33" max="33" width="5.42578125" style="96" bestFit="1" customWidth="1"/>
    <col min="34" max="34" width="7.140625" style="96" bestFit="1" customWidth="1"/>
    <col min="35" max="16384" width="11.42578125" style="96"/>
  </cols>
  <sheetData>
    <row r="3" spans="1:24" x14ac:dyDescent="0.25">
      <c r="C3" s="294" t="s">
        <v>37</v>
      </c>
      <c r="D3" s="296" t="s">
        <v>125</v>
      </c>
      <c r="E3" s="289" t="str">
        <f>D5</f>
        <v>BILIF MANIZALES (EL CARMEN)</v>
      </c>
      <c r="F3" s="290"/>
      <c r="G3" s="290"/>
      <c r="H3" s="290"/>
      <c r="I3" s="291"/>
      <c r="J3" s="289" t="str">
        <f>D6</f>
        <v>MARQUESINAS MANIZALES</v>
      </c>
      <c r="K3" s="290"/>
      <c r="L3" s="290"/>
      <c r="M3" s="290"/>
      <c r="N3" s="291"/>
      <c r="O3" s="289" t="str">
        <f>D7</f>
        <v>ANCESTRAL S.J</v>
      </c>
      <c r="P3" s="290"/>
      <c r="Q3" s="290"/>
      <c r="R3" s="290"/>
      <c r="S3" s="291"/>
      <c r="T3" s="289" t="str">
        <f>D8</f>
        <v xml:space="preserve"> </v>
      </c>
      <c r="U3" s="290"/>
      <c r="V3" s="290"/>
      <c r="W3" s="290"/>
      <c r="X3" s="291"/>
    </row>
    <row r="4" spans="1:24" x14ac:dyDescent="0.25">
      <c r="C4" s="295"/>
      <c r="D4" s="297"/>
      <c r="E4" s="129" t="s">
        <v>67</v>
      </c>
      <c r="F4" s="292" t="s">
        <v>69</v>
      </c>
      <c r="G4" s="293"/>
      <c r="H4" s="140"/>
      <c r="I4" s="130" t="s">
        <v>68</v>
      </c>
      <c r="J4" s="131" t="s">
        <v>67</v>
      </c>
      <c r="K4" s="292" t="s">
        <v>69</v>
      </c>
      <c r="L4" s="293"/>
      <c r="M4" s="140"/>
      <c r="N4" s="130" t="s">
        <v>68</v>
      </c>
      <c r="O4" s="131" t="s">
        <v>67</v>
      </c>
      <c r="P4" s="292" t="s">
        <v>69</v>
      </c>
      <c r="Q4" s="293"/>
      <c r="R4" s="140"/>
      <c r="S4" s="130" t="s">
        <v>68</v>
      </c>
      <c r="T4" s="131" t="s">
        <v>67</v>
      </c>
      <c r="U4" s="292" t="s">
        <v>69</v>
      </c>
      <c r="V4" s="293"/>
      <c r="W4" s="140"/>
      <c r="X4" s="130" t="s">
        <v>68</v>
      </c>
    </row>
    <row r="5" spans="1:24" x14ac:dyDescent="0.25">
      <c r="A5" s="298"/>
      <c r="B5" s="299"/>
      <c r="C5" s="111">
        <v>1</v>
      </c>
      <c r="D5" s="142" t="str">
        <f>CUADRANGULARES!K22</f>
        <v>BILIF MANIZALES (EL CARMEN)</v>
      </c>
      <c r="E5" s="300" t="s">
        <v>66</v>
      </c>
      <c r="F5" s="301"/>
      <c r="G5" s="301"/>
      <c r="H5" s="301"/>
      <c r="I5" s="302"/>
      <c r="J5" s="132" t="str">
        <f>IF(E6&lt;&gt;0,E6," ")</f>
        <v xml:space="preserve"> </v>
      </c>
      <c r="K5" s="133" t="str">
        <f>IF(E6&lt;&gt;0,G6, " ")</f>
        <v xml:space="preserve"> </v>
      </c>
      <c r="L5" s="133" t="str">
        <f>IF(E6&lt;&gt;0,F6," ")</f>
        <v xml:space="preserve"> </v>
      </c>
      <c r="M5" s="128" t="str">
        <f>IF(E6&lt;&gt;0,IF(K5&lt;L5,"3",IF(K5&gt;L5,"0","1")),"")</f>
        <v/>
      </c>
      <c r="N5" s="133" t="str">
        <f>IF(E6&lt;&gt;0,I6," ")</f>
        <v xml:space="preserve"> </v>
      </c>
      <c r="O5" s="132" t="str">
        <f>IF(E7&lt;&gt;0,E7," ")</f>
        <v xml:space="preserve"> </v>
      </c>
      <c r="P5" s="133" t="str">
        <f>IF(E7&lt;&gt;0,G7," ")</f>
        <v xml:space="preserve"> </v>
      </c>
      <c r="Q5" s="133" t="str">
        <f>IF(E7&lt;&gt;0,F7," ")</f>
        <v xml:space="preserve"> </v>
      </c>
      <c r="R5" s="128" t="str">
        <f>IF(E7&lt;&gt;0,IF(P5&lt;Q5,"3",IF(P5&gt;Q5,"0","1")),"")</f>
        <v/>
      </c>
      <c r="S5" s="133" t="str">
        <f>IF(E7&lt;&gt;0,I7," ")</f>
        <v xml:space="preserve"> </v>
      </c>
      <c r="T5" s="132" t="str">
        <f>IF(E8&lt;&gt;0,E8," ")</f>
        <v xml:space="preserve"> </v>
      </c>
      <c r="U5" s="133" t="str">
        <f>IF(E8&lt;&gt;0,G8," ")</f>
        <v xml:space="preserve"> </v>
      </c>
      <c r="V5" s="133" t="str">
        <f>IF(E8&lt;&gt;0,F8," ")</f>
        <v xml:space="preserve"> </v>
      </c>
      <c r="W5" s="128" t="str">
        <f>IF(E8&lt;&gt;0,IF(U5&lt;V5,"3",IF(U5&gt;V5,"0","1")),"")</f>
        <v/>
      </c>
      <c r="X5" s="134" t="str">
        <f>IF(E8&lt;&gt;0,I8," ")</f>
        <v xml:space="preserve"> </v>
      </c>
    </row>
    <row r="6" spans="1:24" x14ac:dyDescent="0.25">
      <c r="A6" s="298"/>
      <c r="B6" s="299"/>
      <c r="C6" s="111">
        <v>2</v>
      </c>
      <c r="D6" s="142" t="str">
        <f>CUADRANGULARES!K25</f>
        <v>MARQUESINAS MANIZALES</v>
      </c>
      <c r="E6" s="93"/>
      <c r="F6" s="94"/>
      <c r="G6" s="94"/>
      <c r="H6" s="95" t="str">
        <f>IF(E6&lt;&gt;0,IF(F6&lt;G6,"3",IF(F6&gt;G6,"0","1")),"")</f>
        <v/>
      </c>
      <c r="I6" s="95"/>
      <c r="J6" s="300" t="s">
        <v>66</v>
      </c>
      <c r="K6" s="301"/>
      <c r="L6" s="301"/>
      <c r="M6" s="301"/>
      <c r="N6" s="302"/>
      <c r="O6" s="136" t="str">
        <f>IF(J7&lt;&gt;0,J7," ")</f>
        <v xml:space="preserve"> </v>
      </c>
      <c r="P6" s="134" t="str">
        <f>IF(J7&lt;&gt;0,L7," ")</f>
        <v xml:space="preserve"> </v>
      </c>
      <c r="Q6" s="137" t="str">
        <f>IF(J7&lt;&gt;0,K7," ")</f>
        <v xml:space="preserve"> </v>
      </c>
      <c r="R6" s="128" t="str">
        <f>IF(J7&lt;&gt;0,IF(P6&lt;Q6,"3",IF(P6&gt;Q6,"0","1")),"")</f>
        <v/>
      </c>
      <c r="S6" s="134" t="str">
        <f>IF(J7&lt;&gt;0,N7," ")</f>
        <v xml:space="preserve"> </v>
      </c>
      <c r="T6" s="136" t="str">
        <f>IF(J8&lt;&gt;0,J8," ")</f>
        <v xml:space="preserve"> </v>
      </c>
      <c r="U6" s="134" t="str">
        <f>IF(J8&lt;&gt;0,L8," ")</f>
        <v xml:space="preserve"> </v>
      </c>
      <c r="V6" s="137" t="str">
        <f>IF(J8&lt;&gt;0,K8," ")</f>
        <v xml:space="preserve"> </v>
      </c>
      <c r="W6" s="128" t="str">
        <f>IF(J8&lt;&gt;0,IF(U6&lt;V6,"3",IF(U6&gt;V6,"0","1")),"")</f>
        <v/>
      </c>
      <c r="X6" s="134" t="str">
        <f>IF(J8&lt;&gt;0,N8," ")</f>
        <v xml:space="preserve"> </v>
      </c>
    </row>
    <row r="7" spans="1:24" x14ac:dyDescent="0.25">
      <c r="A7" s="298"/>
      <c r="B7" s="299"/>
      <c r="C7" s="111">
        <v>3</v>
      </c>
      <c r="D7" s="142" t="str">
        <f>CUADRANGULARES!K28</f>
        <v>ANCESTRAL S.J</v>
      </c>
      <c r="E7" s="93"/>
      <c r="F7" s="94"/>
      <c r="G7" s="94"/>
      <c r="H7" s="95" t="str">
        <f t="shared" ref="H7:H8" si="0">IF(E7&lt;&gt;0,IF(F7&lt;G7,"3",IF(F7&gt;G7,"0","1")),"")</f>
        <v/>
      </c>
      <c r="I7" s="95"/>
      <c r="J7" s="93"/>
      <c r="K7" s="94"/>
      <c r="L7" s="94"/>
      <c r="M7" s="95" t="str">
        <f>IF(J7&lt;&gt;0,IF(K7&lt;L7,"3",IF(K7&gt;L7,"0","1")),"")</f>
        <v/>
      </c>
      <c r="N7" s="95"/>
      <c r="O7" s="300" t="s">
        <v>66</v>
      </c>
      <c r="P7" s="301"/>
      <c r="Q7" s="301"/>
      <c r="R7" s="301"/>
      <c r="S7" s="302"/>
      <c r="T7" s="136" t="str">
        <f>IF(O8&lt;&gt;0,O8," ")</f>
        <v xml:space="preserve"> </v>
      </c>
      <c r="U7" s="134" t="str">
        <f>IF(O8&lt;&gt;0,Q8," ")</f>
        <v xml:space="preserve"> </v>
      </c>
      <c r="V7" s="137" t="str">
        <f>IF(O8&lt;&gt;0,P8," ")</f>
        <v xml:space="preserve"> </v>
      </c>
      <c r="W7" s="128" t="str">
        <f>IF(O8&lt;&gt;0,IF(U7&lt;V7,"3",IF(U7&gt;V7,"0","1")),"")</f>
        <v/>
      </c>
      <c r="X7" s="134" t="str">
        <f>IF(O8&lt;&gt;0,S8," ")</f>
        <v xml:space="preserve"> </v>
      </c>
    </row>
    <row r="8" spans="1:24" x14ac:dyDescent="0.25">
      <c r="A8" s="298"/>
      <c r="B8" s="299"/>
      <c r="C8" s="111">
        <v>4</v>
      </c>
      <c r="D8" s="142" t="str">
        <f>CUADRANGULARES!K31</f>
        <v xml:space="preserve"> </v>
      </c>
      <c r="E8" s="93"/>
      <c r="F8" s="94"/>
      <c r="G8" s="94"/>
      <c r="H8" s="95" t="str">
        <f t="shared" si="0"/>
        <v/>
      </c>
      <c r="I8" s="95"/>
      <c r="J8" s="93"/>
      <c r="K8" s="94"/>
      <c r="L8" s="94"/>
      <c r="M8" s="95" t="str">
        <f t="shared" ref="M8" si="1">IF(J8&lt;&gt;0,IF(K8&lt;L8,"3",IF(K8&gt;L8,"0","1")),"")</f>
        <v/>
      </c>
      <c r="N8" s="95"/>
      <c r="O8" s="93"/>
      <c r="P8" s="94"/>
      <c r="Q8" s="94"/>
      <c r="R8" s="95" t="str">
        <f>IF(O8&lt;&gt;0,IF(P8&lt;Q8,"3",IF(P8&gt;Q8,"0","1")),"")</f>
        <v/>
      </c>
      <c r="S8" s="95"/>
      <c r="T8" s="300" t="s">
        <v>66</v>
      </c>
      <c r="U8" s="301"/>
      <c r="V8" s="301"/>
      <c r="W8" s="301"/>
      <c r="X8" s="302"/>
    </row>
  </sheetData>
  <sheetProtection algorithmName="SHA-512" hashValue="NbCsqHkhrRj2MuME9cRaPozcitW6J5ePP9xwqOAuCRx6bQMIrtBOEno9oRTt5yApnCpHrvkMSdF/K9bP1bczRw==" saltValue="8CU6g3J+x+VR7Gf7QI7lvg==" spinCount="100000" sheet="1" formatCells="0" sort="0"/>
  <mergeCells count="18">
    <mergeCell ref="A5:B5"/>
    <mergeCell ref="A6:B6"/>
    <mergeCell ref="A7:B7"/>
    <mergeCell ref="A8:B8"/>
    <mergeCell ref="E5:I5"/>
    <mergeCell ref="J6:N6"/>
    <mergeCell ref="O7:S7"/>
    <mergeCell ref="T8:X8"/>
    <mergeCell ref="C3:C4"/>
    <mergeCell ref="D3:D4"/>
    <mergeCell ref="E3:I3"/>
    <mergeCell ref="J3:N3"/>
    <mergeCell ref="O3:S3"/>
    <mergeCell ref="T3:X3"/>
    <mergeCell ref="F4:G4"/>
    <mergeCell ref="K4:L4"/>
    <mergeCell ref="P4:Q4"/>
    <mergeCell ref="U4:V4"/>
  </mergeCells>
  <conditionalFormatting sqref="T7:V7 O6:Q6 E6:G6 E7:H8 I7:N7 I8:S8 J5:Q5 S5:V6 X5:X7 I6">
    <cfRule type="notContainsBlanks" dxfId="27" priority="5">
      <formula>LEN(TRIM(E5))&gt;0</formula>
    </cfRule>
  </conditionalFormatting>
  <conditionalFormatting sqref="J5:Q5 S5:U5">
    <cfRule type="notContainsBlanks" dxfId="26" priority="6">
      <formula>LEN(TRIM(J5))&gt;0</formula>
    </cfRule>
  </conditionalFormatting>
  <conditionalFormatting sqref="V5">
    <cfRule type="notContainsBlanks" dxfId="25" priority="4">
      <formula>LEN(TRIM(V5))&gt;0</formula>
    </cfRule>
  </conditionalFormatting>
  <conditionalFormatting sqref="R5:R6">
    <cfRule type="notContainsBlanks" dxfId="24" priority="3">
      <formula>LEN(TRIM(R5))&gt;0</formula>
    </cfRule>
  </conditionalFormatting>
  <conditionalFormatting sqref="W5:W7">
    <cfRule type="notContainsBlanks" dxfId="23" priority="2">
      <formula>LEN(TRIM(W5))&gt;0</formula>
    </cfRule>
  </conditionalFormatting>
  <conditionalFormatting sqref="H6">
    <cfRule type="notContainsBlanks" dxfId="22" priority="1">
      <formula>LEN(TRIM(H6))&gt;0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79503-9059-4FE9-A906-59902370F67A}">
  <sheetPr codeName="Hoja17"/>
  <dimension ref="C2:L13"/>
  <sheetViews>
    <sheetView showGridLines="0" zoomScale="90" zoomScaleNormal="90" workbookViewId="0"/>
  </sheetViews>
  <sheetFormatPr baseColWidth="10" defaultRowHeight="15" x14ac:dyDescent="0.25"/>
  <cols>
    <col min="1" max="1" width="11.42578125" style="96"/>
    <col min="2" max="2" width="5.7109375" style="96" customWidth="1"/>
    <col min="3" max="3" width="4.7109375" style="96" customWidth="1"/>
    <col min="4" max="4" width="60.7109375" style="96" customWidth="1"/>
    <col min="5" max="10" width="5.7109375" style="96" customWidth="1"/>
    <col min="11" max="11" width="5.7109375" style="141" customWidth="1"/>
    <col min="12" max="12" width="7.7109375" style="96" customWidth="1"/>
    <col min="13" max="13" width="11.42578125" style="96"/>
    <col min="14" max="14" width="4.140625" style="96" bestFit="1" customWidth="1"/>
    <col min="15" max="15" width="45.7109375" style="96" customWidth="1"/>
    <col min="16" max="16" width="4.28515625" style="96" bestFit="1" customWidth="1"/>
    <col min="17" max="17" width="5.140625" style="96" bestFit="1" customWidth="1"/>
    <col min="18" max="18" width="4.7109375" style="96" bestFit="1" customWidth="1"/>
    <col min="19" max="19" width="4.85546875" style="96" bestFit="1" customWidth="1"/>
    <col min="20" max="20" width="5" style="96" bestFit="1" customWidth="1"/>
    <col min="21" max="21" width="5.140625" style="96" bestFit="1" customWidth="1"/>
    <col min="22" max="22" width="5.42578125" style="96" bestFit="1" customWidth="1"/>
    <col min="23" max="23" width="7.140625" style="96" bestFit="1" customWidth="1"/>
    <col min="24" max="16384" width="11.42578125" style="96"/>
  </cols>
  <sheetData>
    <row r="2" spans="3:12" ht="15.75" thickBot="1" x14ac:dyDescent="0.3"/>
    <row r="3" spans="3:12" ht="19.5" thickBot="1" x14ac:dyDescent="0.35">
      <c r="D3" s="303" t="s">
        <v>125</v>
      </c>
      <c r="E3" s="304"/>
      <c r="F3" s="304"/>
      <c r="G3" s="304"/>
      <c r="H3" s="304"/>
      <c r="I3" s="304"/>
      <c r="J3" s="304"/>
      <c r="K3" s="304"/>
      <c r="L3" s="305"/>
    </row>
    <row r="4" spans="3:12" ht="19.5" thickBot="1" x14ac:dyDescent="0.35">
      <c r="D4" s="105" t="s">
        <v>16</v>
      </c>
      <c r="E4" s="135" t="s">
        <v>19</v>
      </c>
      <c r="F4" s="135" t="s">
        <v>20</v>
      </c>
      <c r="G4" s="135" t="s">
        <v>21</v>
      </c>
      <c r="H4" s="135" t="s">
        <v>22</v>
      </c>
      <c r="I4" s="135" t="s">
        <v>23</v>
      </c>
      <c r="J4" s="135" t="s">
        <v>24</v>
      </c>
      <c r="K4" s="135" t="s">
        <v>25</v>
      </c>
      <c r="L4" s="135" t="s">
        <v>26</v>
      </c>
    </row>
    <row r="5" spans="3:12" ht="19.5" thickBot="1" x14ac:dyDescent="0.35">
      <c r="C5" s="99">
        <v>1</v>
      </c>
      <c r="D5" s="100" t="str">
        <f>'6'!D5</f>
        <v>BILIF MANIZALES (EL CARMEN)</v>
      </c>
      <c r="E5" s="100">
        <f>COUNTA('6'!E6:E8)</f>
        <v>0</v>
      </c>
      <c r="F5" s="100">
        <f>COUNTIF('6'!$H$5:$H$8,3)</f>
        <v>0</v>
      </c>
      <c r="G5" s="100">
        <f>COUNTIF('6'!$H$5:$H$8,1)</f>
        <v>0</v>
      </c>
      <c r="H5" s="100">
        <f>COUNTIF('6'!$H$5:$H$8,0)</f>
        <v>0</v>
      </c>
      <c r="I5" s="103">
        <f>SUM('6'!$G$5:$G$8)</f>
        <v>0</v>
      </c>
      <c r="J5" s="103">
        <f>SUM('6'!$F$5:$F$8)</f>
        <v>0</v>
      </c>
      <c r="K5" s="100">
        <f>I5-J5</f>
        <v>0</v>
      </c>
      <c r="L5" s="100">
        <f>(F5*3)+G5</f>
        <v>0</v>
      </c>
    </row>
    <row r="6" spans="3:12" ht="19.5" thickBot="1" x14ac:dyDescent="0.35">
      <c r="C6" s="105">
        <v>2</v>
      </c>
      <c r="D6" s="100" t="str">
        <f>'6'!D6</f>
        <v>MARQUESINAS MANIZALES</v>
      </c>
      <c r="E6" s="100">
        <f>COUNTA('6'!E6,'6'!J7:J8)</f>
        <v>0</v>
      </c>
      <c r="F6" s="100">
        <f>COUNTIF('6'!$M$5:$M$8,3)</f>
        <v>0</v>
      </c>
      <c r="G6" s="100">
        <f>COUNTIF('6'!$M$5:$M$8,1)</f>
        <v>0</v>
      </c>
      <c r="H6" s="100">
        <f>COUNTIF('6'!$M$5:$M$8,0)</f>
        <v>0</v>
      </c>
      <c r="I6" s="103">
        <f>SUM('6'!$L$5:$L$8)</f>
        <v>0</v>
      </c>
      <c r="J6" s="103">
        <f>SUM('6'!$K$5:$K$8)</f>
        <v>0</v>
      </c>
      <c r="K6" s="100">
        <f>I6-J6</f>
        <v>0</v>
      </c>
      <c r="L6" s="100">
        <f>(F6*3)+G6</f>
        <v>0</v>
      </c>
    </row>
    <row r="7" spans="3:12" ht="19.5" thickBot="1" x14ac:dyDescent="0.35">
      <c r="C7" s="99">
        <v>3</v>
      </c>
      <c r="D7" s="100" t="str">
        <f>'6'!D7</f>
        <v>ANCESTRAL S.J</v>
      </c>
      <c r="E7" s="100">
        <f>COUNTA('6'!E7,'6'!J7,'6'!O8)</f>
        <v>0</v>
      </c>
      <c r="F7" s="100">
        <f>COUNTIF('6'!$R$5:$R$8,3)</f>
        <v>0</v>
      </c>
      <c r="G7" s="100">
        <f>COUNTIF('6'!$R$5:$R$8,1)</f>
        <v>0</v>
      </c>
      <c r="H7" s="100">
        <f>COUNTIF('6'!$R$5:$R$8,0)</f>
        <v>0</v>
      </c>
      <c r="I7" s="103">
        <f>SUM('6'!$Q$5:$Q$8)</f>
        <v>0</v>
      </c>
      <c r="J7" s="103">
        <f>SUM('6'!$P$5:$P$8)</f>
        <v>0</v>
      </c>
      <c r="K7" s="100">
        <f>I7-J7</f>
        <v>0</v>
      </c>
      <c r="L7" s="100">
        <f>(F7*3)+G7</f>
        <v>0</v>
      </c>
    </row>
    <row r="8" spans="3:12" ht="19.5" thickBot="1" x14ac:dyDescent="0.35">
      <c r="C8" s="105">
        <v>4</v>
      </c>
      <c r="D8" s="100" t="str">
        <f>'6'!D8</f>
        <v xml:space="preserve"> </v>
      </c>
      <c r="E8" s="100">
        <f>COUNTA('6'!E8,'6'!J8,'6'!O8)</f>
        <v>0</v>
      </c>
      <c r="F8" s="100">
        <f>COUNTIF('6'!$W$5:$W$8,3)</f>
        <v>0</v>
      </c>
      <c r="G8" s="100">
        <f>COUNTIF('6'!$W$5:$W$8,1)</f>
        <v>0</v>
      </c>
      <c r="H8" s="100">
        <f>COUNTIF('6'!$W$5:$W$8,0)</f>
        <v>0</v>
      </c>
      <c r="I8" s="103">
        <f>SUM('6'!$V$5:$V$8)</f>
        <v>0</v>
      </c>
      <c r="J8" s="103">
        <f>SUM('6'!$U$5:$U$8)</f>
        <v>0</v>
      </c>
      <c r="K8" s="100">
        <f>I8-J8</f>
        <v>0</v>
      </c>
      <c r="L8" s="100">
        <f>(F8*3)+G8</f>
        <v>0</v>
      </c>
    </row>
    <row r="9" spans="3:12" x14ac:dyDescent="0.25">
      <c r="E9" s="96">
        <f>SUM(E5:E8)/2</f>
        <v>0</v>
      </c>
      <c r="F9" s="96">
        <f>SUM(F5:F8)</f>
        <v>0</v>
      </c>
      <c r="G9" s="96">
        <f>SUM(G5:G8)/2</f>
        <v>0</v>
      </c>
      <c r="H9" s="96">
        <f>SUM(H5:H8)</f>
        <v>0</v>
      </c>
      <c r="I9" s="96">
        <f>SUM(I5:I8)</f>
        <v>0</v>
      </c>
      <c r="J9" s="96">
        <f>SUM(J5:J8)</f>
        <v>0</v>
      </c>
    </row>
    <row r="11" spans="3:12" ht="18.75" x14ac:dyDescent="0.3">
      <c r="D11" s="306"/>
      <c r="E11" s="306"/>
      <c r="F11" s="306"/>
      <c r="G11" s="306"/>
      <c r="H11" s="306"/>
      <c r="I11" s="306"/>
      <c r="J11" s="306"/>
      <c r="K11" s="306"/>
      <c r="L11" s="306"/>
    </row>
    <row r="13" spans="3:12" x14ac:dyDescent="0.25">
      <c r="D13" s="307"/>
      <c r="E13" s="307"/>
      <c r="F13" s="307"/>
      <c r="G13" s="307"/>
      <c r="H13" s="307"/>
      <c r="I13" s="307"/>
      <c r="J13" s="307"/>
      <c r="K13" s="307"/>
      <c r="L13" s="307"/>
    </row>
  </sheetData>
  <sheetProtection algorithmName="SHA-512" hashValue="cpW/zLde+svrw3+4+t/GUbZglJX1CV8m1GWeeoksW7qifzQiZ9BfkROMmV+WWW7B4NHimxty8kskyld8AQOQKg==" saltValue="qnx7DMD3M9vtGY5LYVuiiw==" spinCount="100000" sheet="1" sort="0"/>
  <sortState ref="D5:L8">
    <sortCondition descending="1" ref="L5:L8"/>
    <sortCondition descending="1" ref="K5:K8"/>
    <sortCondition ref="E5:E8"/>
    <sortCondition descending="1" ref="I5:I8"/>
    <sortCondition ref="J5:J8"/>
  </sortState>
  <mergeCells count="3">
    <mergeCell ref="D3:L3"/>
    <mergeCell ref="D11:L11"/>
    <mergeCell ref="D13:L13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AF483-DE95-4412-9DFB-37C6FBDE7808}">
  <sheetPr codeName="Hoja34"/>
  <dimension ref="A3:X8"/>
  <sheetViews>
    <sheetView showGridLines="0" zoomScale="90" zoomScaleNormal="90" workbookViewId="0"/>
  </sheetViews>
  <sheetFormatPr baseColWidth="10" defaultRowHeight="15" x14ac:dyDescent="0.25"/>
  <cols>
    <col min="1" max="2" width="11.42578125" style="96"/>
    <col min="3" max="3" width="3.28515625" style="96" customWidth="1"/>
    <col min="4" max="4" width="30.7109375" style="96" customWidth="1"/>
    <col min="5" max="5" width="10.7109375" style="96" customWidth="1"/>
    <col min="6" max="7" width="5.7109375" style="96" customWidth="1"/>
    <col min="8" max="8" width="11.42578125" style="96" hidden="1" customWidth="1"/>
    <col min="9" max="10" width="10.7109375" style="96" customWidth="1"/>
    <col min="11" max="12" width="5.7109375" style="96" customWidth="1"/>
    <col min="13" max="13" width="11.42578125" style="96" hidden="1" customWidth="1"/>
    <col min="14" max="15" width="10.7109375" style="96" customWidth="1"/>
    <col min="16" max="17" width="5.7109375" style="96" customWidth="1"/>
    <col min="18" max="18" width="11.42578125" style="96" hidden="1" customWidth="1"/>
    <col min="19" max="20" width="10.7109375" style="96" customWidth="1"/>
    <col min="21" max="22" width="5.7109375" style="96" customWidth="1"/>
    <col min="23" max="23" width="11.42578125" style="96" hidden="1" customWidth="1"/>
    <col min="24" max="24" width="10.7109375" style="96" customWidth="1"/>
    <col min="25" max="25" width="5.7109375" style="96" customWidth="1"/>
    <col min="26" max="26" width="45.7109375" style="96" customWidth="1"/>
    <col min="27" max="27" width="4.28515625" style="96" bestFit="1" customWidth="1"/>
    <col min="28" max="28" width="5.140625" style="96" bestFit="1" customWidth="1"/>
    <col min="29" max="29" width="4.7109375" style="96" bestFit="1" customWidth="1"/>
    <col min="30" max="30" width="4.85546875" style="96" bestFit="1" customWidth="1"/>
    <col min="31" max="31" width="5" style="96" bestFit="1" customWidth="1"/>
    <col min="32" max="32" width="5.140625" style="96" bestFit="1" customWidth="1"/>
    <col min="33" max="33" width="5.42578125" style="96" bestFit="1" customWidth="1"/>
    <col min="34" max="34" width="7.140625" style="96" bestFit="1" customWidth="1"/>
    <col min="35" max="16384" width="11.42578125" style="96"/>
  </cols>
  <sheetData>
    <row r="3" spans="1:24" x14ac:dyDescent="0.25">
      <c r="C3" s="294" t="s">
        <v>37</v>
      </c>
      <c r="D3" s="296" t="s">
        <v>126</v>
      </c>
      <c r="E3" s="289" t="str">
        <f>D5</f>
        <v>ARGENTINOS F.C</v>
      </c>
      <c r="F3" s="290"/>
      <c r="G3" s="290"/>
      <c r="H3" s="290"/>
      <c r="I3" s="291"/>
      <c r="J3" s="289" t="str">
        <f>D6</f>
        <v>SALAMINA F.C</v>
      </c>
      <c r="K3" s="290"/>
      <c r="L3" s="290"/>
      <c r="M3" s="290"/>
      <c r="N3" s="291"/>
      <c r="O3" s="289" t="str">
        <f>D7</f>
        <v>WESTHAM</v>
      </c>
      <c r="P3" s="290"/>
      <c r="Q3" s="290"/>
      <c r="R3" s="290"/>
      <c r="S3" s="291"/>
      <c r="T3" s="289" t="str">
        <f>D8</f>
        <v xml:space="preserve"> </v>
      </c>
      <c r="U3" s="290"/>
      <c r="V3" s="290"/>
      <c r="W3" s="290"/>
      <c r="X3" s="291"/>
    </row>
    <row r="4" spans="1:24" x14ac:dyDescent="0.25">
      <c r="C4" s="295"/>
      <c r="D4" s="297"/>
      <c r="E4" s="129" t="s">
        <v>67</v>
      </c>
      <c r="F4" s="292" t="s">
        <v>69</v>
      </c>
      <c r="G4" s="293"/>
      <c r="H4" s="140"/>
      <c r="I4" s="130" t="s">
        <v>68</v>
      </c>
      <c r="J4" s="131" t="s">
        <v>67</v>
      </c>
      <c r="K4" s="292" t="s">
        <v>69</v>
      </c>
      <c r="L4" s="293"/>
      <c r="M4" s="140"/>
      <c r="N4" s="130" t="s">
        <v>68</v>
      </c>
      <c r="O4" s="131" t="s">
        <v>67</v>
      </c>
      <c r="P4" s="292" t="s">
        <v>69</v>
      </c>
      <c r="Q4" s="293"/>
      <c r="R4" s="140"/>
      <c r="S4" s="130" t="s">
        <v>68</v>
      </c>
      <c r="T4" s="131" t="s">
        <v>67</v>
      </c>
      <c r="U4" s="292" t="s">
        <v>69</v>
      </c>
      <c r="V4" s="293"/>
      <c r="W4" s="140"/>
      <c r="X4" s="130" t="s">
        <v>68</v>
      </c>
    </row>
    <row r="5" spans="1:24" x14ac:dyDescent="0.25">
      <c r="A5" s="298"/>
      <c r="B5" s="299"/>
      <c r="C5" s="111">
        <v>1</v>
      </c>
      <c r="D5" s="142" t="str">
        <f>CUADRANGULARES!M22</f>
        <v>ARGENTINOS F.C</v>
      </c>
      <c r="E5" s="300" t="s">
        <v>66</v>
      </c>
      <c r="F5" s="301"/>
      <c r="G5" s="301"/>
      <c r="H5" s="301"/>
      <c r="I5" s="302"/>
      <c r="J5" s="132" t="str">
        <f>IF(E6&lt;&gt;0,E6," ")</f>
        <v xml:space="preserve"> </v>
      </c>
      <c r="K5" s="133" t="str">
        <f>IF(E6&lt;&gt;0,G6, " ")</f>
        <v xml:space="preserve"> </v>
      </c>
      <c r="L5" s="133" t="str">
        <f>IF(E6&lt;&gt;0,F6," ")</f>
        <v xml:space="preserve"> </v>
      </c>
      <c r="M5" s="128" t="str">
        <f>IF(E6&lt;&gt;0,IF(K5&lt;L5,"3",IF(K5&gt;L5,"0","1")),"")</f>
        <v/>
      </c>
      <c r="N5" s="133" t="str">
        <f>IF(E6&lt;&gt;0,I6," ")</f>
        <v xml:space="preserve"> </v>
      </c>
      <c r="O5" s="132" t="str">
        <f>IF(E7&lt;&gt;0,E7," ")</f>
        <v xml:space="preserve"> </v>
      </c>
      <c r="P5" s="133" t="str">
        <f>IF(E7&lt;&gt;0,G7," ")</f>
        <v xml:space="preserve"> </v>
      </c>
      <c r="Q5" s="133" t="str">
        <f>IF(E7&lt;&gt;0,F7," ")</f>
        <v xml:space="preserve"> </v>
      </c>
      <c r="R5" s="128" t="str">
        <f>IF(E7&lt;&gt;0,IF(P5&lt;Q5,"3",IF(P5&gt;Q5,"0","1")),"")</f>
        <v/>
      </c>
      <c r="S5" s="133" t="str">
        <f>IF(E7&lt;&gt;0,I7," ")</f>
        <v xml:space="preserve"> </v>
      </c>
      <c r="T5" s="132" t="str">
        <f>IF(E8&lt;&gt;0,E8," ")</f>
        <v xml:space="preserve"> </v>
      </c>
      <c r="U5" s="133" t="str">
        <f>IF(E8&lt;&gt;0,G8," ")</f>
        <v xml:space="preserve"> </v>
      </c>
      <c r="V5" s="133" t="str">
        <f>IF(E8&lt;&gt;0,F8," ")</f>
        <v xml:space="preserve"> </v>
      </c>
      <c r="W5" s="128" t="str">
        <f>IF(E8&lt;&gt;0,IF(U5&lt;V5,"3",IF(U5&gt;V5,"0","1")),"")</f>
        <v/>
      </c>
      <c r="X5" s="134" t="str">
        <f>IF(E8&lt;&gt;0,I8," ")</f>
        <v xml:space="preserve"> </v>
      </c>
    </row>
    <row r="6" spans="1:24" x14ac:dyDescent="0.25">
      <c r="A6" s="298"/>
      <c r="B6" s="299"/>
      <c r="C6" s="111">
        <v>2</v>
      </c>
      <c r="D6" s="142" t="str">
        <f>CUADRANGULARES!M25</f>
        <v>SALAMINA F.C</v>
      </c>
      <c r="E6" s="93"/>
      <c r="F6" s="94"/>
      <c r="G6" s="94"/>
      <c r="H6" s="95" t="str">
        <f>IF(E6&lt;&gt;0,IF(F6&lt;G6,"3",IF(F6&gt;G6,"0","1")),"")</f>
        <v/>
      </c>
      <c r="I6" s="95"/>
      <c r="J6" s="300" t="s">
        <v>66</v>
      </c>
      <c r="K6" s="301"/>
      <c r="L6" s="301"/>
      <c r="M6" s="301"/>
      <c r="N6" s="302"/>
      <c r="O6" s="136" t="str">
        <f>IF(J7&lt;&gt;0,J7," ")</f>
        <v xml:space="preserve"> </v>
      </c>
      <c r="P6" s="134" t="str">
        <f>IF(J7&lt;&gt;0,L7," ")</f>
        <v xml:space="preserve"> </v>
      </c>
      <c r="Q6" s="137" t="str">
        <f>IF(J7&lt;&gt;0,K7," ")</f>
        <v xml:space="preserve"> </v>
      </c>
      <c r="R6" s="128" t="str">
        <f>IF(J7&lt;&gt;0,IF(P6&lt;Q6,"3",IF(P6&gt;Q6,"0","1")),"")</f>
        <v/>
      </c>
      <c r="S6" s="134" t="str">
        <f>IF(J7&lt;&gt;0,N7," ")</f>
        <v xml:space="preserve"> </v>
      </c>
      <c r="T6" s="136" t="str">
        <f>IF(J8&lt;&gt;0,J8," ")</f>
        <v xml:space="preserve"> </v>
      </c>
      <c r="U6" s="134" t="str">
        <f>IF(J8&lt;&gt;0,L8," ")</f>
        <v xml:space="preserve"> </v>
      </c>
      <c r="V6" s="137" t="str">
        <f>IF(J8&lt;&gt;0,K8," ")</f>
        <v xml:space="preserve"> </v>
      </c>
      <c r="W6" s="128" t="str">
        <f>IF(J8&lt;&gt;0,IF(U6&lt;V6,"3",IF(U6&gt;V6,"0","1")),"")</f>
        <v/>
      </c>
      <c r="X6" s="134" t="str">
        <f>IF(J8&lt;&gt;0,N8," ")</f>
        <v xml:space="preserve"> </v>
      </c>
    </row>
    <row r="7" spans="1:24" x14ac:dyDescent="0.25">
      <c r="A7" s="298"/>
      <c r="B7" s="299"/>
      <c r="C7" s="111">
        <v>3</v>
      </c>
      <c r="D7" s="142" t="str">
        <f>CUADRANGULARES!M28</f>
        <v>WESTHAM</v>
      </c>
      <c r="E7" s="93"/>
      <c r="F7" s="94"/>
      <c r="G7" s="94"/>
      <c r="H7" s="95" t="str">
        <f t="shared" ref="H7:H8" si="0">IF(E7&lt;&gt;0,IF(F7&lt;G7,"3",IF(F7&gt;G7,"0","1")),"")</f>
        <v/>
      </c>
      <c r="I7" s="95"/>
      <c r="J7" s="93"/>
      <c r="K7" s="94"/>
      <c r="L7" s="94"/>
      <c r="M7" s="95" t="str">
        <f>IF(J7&lt;&gt;0,IF(K7&lt;L7,"3",IF(K7&gt;L7,"0","1")),"")</f>
        <v/>
      </c>
      <c r="N7" s="95"/>
      <c r="O7" s="300" t="s">
        <v>66</v>
      </c>
      <c r="P7" s="301"/>
      <c r="Q7" s="301"/>
      <c r="R7" s="301"/>
      <c r="S7" s="302"/>
      <c r="T7" s="136" t="str">
        <f>IF(O8&lt;&gt;0,O8," ")</f>
        <v xml:space="preserve"> </v>
      </c>
      <c r="U7" s="134" t="str">
        <f>IF(O8&lt;&gt;0,Q8," ")</f>
        <v xml:space="preserve"> </v>
      </c>
      <c r="V7" s="137" t="str">
        <f>IF(O8&lt;&gt;0,P8," ")</f>
        <v xml:space="preserve"> </v>
      </c>
      <c r="W7" s="128" t="str">
        <f>IF(O8&lt;&gt;0,IF(U7&lt;V7,"3",IF(U7&gt;V7,"0","1")),"")</f>
        <v/>
      </c>
      <c r="X7" s="134" t="str">
        <f>IF(O8&lt;&gt;0,S8," ")</f>
        <v xml:space="preserve"> </v>
      </c>
    </row>
    <row r="8" spans="1:24" x14ac:dyDescent="0.25">
      <c r="A8" s="298"/>
      <c r="B8" s="299"/>
      <c r="C8" s="111">
        <v>4</v>
      </c>
      <c r="D8" s="142" t="str">
        <f>CUADRANGULARES!M31</f>
        <v xml:space="preserve"> </v>
      </c>
      <c r="E8" s="93"/>
      <c r="F8" s="94"/>
      <c r="G8" s="94"/>
      <c r="H8" s="95" t="str">
        <f t="shared" si="0"/>
        <v/>
      </c>
      <c r="I8" s="95"/>
      <c r="J8" s="93"/>
      <c r="K8" s="94"/>
      <c r="L8" s="94"/>
      <c r="M8" s="95" t="str">
        <f t="shared" ref="M8" si="1">IF(J8&lt;&gt;0,IF(K8&lt;L8,"3",IF(K8&gt;L8,"0","1")),"")</f>
        <v/>
      </c>
      <c r="N8" s="95"/>
      <c r="O8" s="93"/>
      <c r="P8" s="94"/>
      <c r="Q8" s="94"/>
      <c r="R8" s="95" t="str">
        <f>IF(O8&lt;&gt;0,IF(P8&lt;Q8,"3",IF(P8&gt;Q8,"0","1")),"")</f>
        <v/>
      </c>
      <c r="S8" s="95"/>
      <c r="T8" s="300" t="s">
        <v>66</v>
      </c>
      <c r="U8" s="301"/>
      <c r="V8" s="301"/>
      <c r="W8" s="301"/>
      <c r="X8" s="302"/>
    </row>
  </sheetData>
  <sheetProtection algorithmName="SHA-512" hashValue="he9wF1O+AwqeEPuwy8DW49E+e4TBR9p/ocMlx+ndQQ+bvfmfBtcRLdUcjNwv+Cdovi5wWXFwM31jeHbAiYmiLA==" saltValue="zdoK/qjBMymqUAEvDuRZPQ==" spinCount="100000" sheet="1" formatCells="0" sort="0"/>
  <mergeCells count="18">
    <mergeCell ref="A5:B5"/>
    <mergeCell ref="A6:B6"/>
    <mergeCell ref="A7:B7"/>
    <mergeCell ref="A8:B8"/>
    <mergeCell ref="E5:I5"/>
    <mergeCell ref="J6:N6"/>
    <mergeCell ref="O7:S7"/>
    <mergeCell ref="T8:X8"/>
    <mergeCell ref="C3:C4"/>
    <mergeCell ref="D3:D4"/>
    <mergeCell ref="E3:I3"/>
    <mergeCell ref="J3:N3"/>
    <mergeCell ref="O3:S3"/>
    <mergeCell ref="T3:X3"/>
    <mergeCell ref="F4:G4"/>
    <mergeCell ref="K4:L4"/>
    <mergeCell ref="P4:Q4"/>
    <mergeCell ref="U4:V4"/>
  </mergeCells>
  <conditionalFormatting sqref="T7:V7 O6:Q6 E6:G6 E7:H8 I7:N7 I8:S8 J5:Q5 S5:V6 X5:X7 I6">
    <cfRule type="notContainsBlanks" dxfId="21" priority="5">
      <formula>LEN(TRIM(E5))&gt;0</formula>
    </cfRule>
  </conditionalFormatting>
  <conditionalFormatting sqref="J5:Q5 S5:U5">
    <cfRule type="notContainsBlanks" dxfId="20" priority="6">
      <formula>LEN(TRIM(J5))&gt;0</formula>
    </cfRule>
  </conditionalFormatting>
  <conditionalFormatting sqref="V5">
    <cfRule type="notContainsBlanks" dxfId="19" priority="4">
      <formula>LEN(TRIM(V5))&gt;0</formula>
    </cfRule>
  </conditionalFormatting>
  <conditionalFormatting sqref="R5:R6">
    <cfRule type="notContainsBlanks" dxfId="18" priority="3">
      <formula>LEN(TRIM(R5))&gt;0</formula>
    </cfRule>
  </conditionalFormatting>
  <conditionalFormatting sqref="W5:W7">
    <cfRule type="notContainsBlanks" dxfId="17" priority="2">
      <formula>LEN(TRIM(W5))&gt;0</formula>
    </cfRule>
  </conditionalFormatting>
  <conditionalFormatting sqref="H6">
    <cfRule type="notContainsBlanks" dxfId="16" priority="1">
      <formula>LEN(TRIM(H6))&gt;0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4C8FC-A080-4D49-97B7-7DDA70277FE8}">
  <sheetPr codeName="Hoja18"/>
  <dimension ref="C2:L13"/>
  <sheetViews>
    <sheetView showGridLines="0" zoomScale="90" zoomScaleNormal="90" workbookViewId="0"/>
  </sheetViews>
  <sheetFormatPr baseColWidth="10" defaultRowHeight="15" x14ac:dyDescent="0.25"/>
  <cols>
    <col min="1" max="1" width="11.42578125" style="96"/>
    <col min="2" max="2" width="5.7109375" style="96" customWidth="1"/>
    <col min="3" max="3" width="4.7109375" style="96" customWidth="1"/>
    <col min="4" max="4" width="60.7109375" style="96" customWidth="1"/>
    <col min="5" max="10" width="5.7109375" style="96" customWidth="1"/>
    <col min="11" max="11" width="5.7109375" style="141" customWidth="1"/>
    <col min="12" max="12" width="7.7109375" style="96" customWidth="1"/>
    <col min="13" max="13" width="11.42578125" style="96"/>
    <col min="14" max="14" width="4.140625" style="96" bestFit="1" customWidth="1"/>
    <col min="15" max="15" width="45.7109375" style="96" customWidth="1"/>
    <col min="16" max="16" width="4.28515625" style="96" bestFit="1" customWidth="1"/>
    <col min="17" max="17" width="5.140625" style="96" bestFit="1" customWidth="1"/>
    <col min="18" max="18" width="4.7109375" style="96" bestFit="1" customWidth="1"/>
    <col min="19" max="19" width="4.85546875" style="96" bestFit="1" customWidth="1"/>
    <col min="20" max="20" width="5" style="96" bestFit="1" customWidth="1"/>
    <col min="21" max="21" width="5.140625" style="96" bestFit="1" customWidth="1"/>
    <col min="22" max="22" width="5.42578125" style="96" bestFit="1" customWidth="1"/>
    <col min="23" max="23" width="7.140625" style="96" bestFit="1" customWidth="1"/>
    <col min="24" max="16384" width="11.42578125" style="96"/>
  </cols>
  <sheetData>
    <row r="2" spans="3:12" ht="15.75" thickBot="1" x14ac:dyDescent="0.3"/>
    <row r="3" spans="3:12" ht="19.5" thickBot="1" x14ac:dyDescent="0.35">
      <c r="D3" s="303" t="s">
        <v>126</v>
      </c>
      <c r="E3" s="304"/>
      <c r="F3" s="304"/>
      <c r="G3" s="304"/>
      <c r="H3" s="304"/>
      <c r="I3" s="304"/>
      <c r="J3" s="304"/>
      <c r="K3" s="304"/>
      <c r="L3" s="305"/>
    </row>
    <row r="4" spans="3:12" ht="19.5" thickBot="1" x14ac:dyDescent="0.35">
      <c r="D4" s="105" t="s">
        <v>16</v>
      </c>
      <c r="E4" s="135" t="s">
        <v>19</v>
      </c>
      <c r="F4" s="135" t="s">
        <v>20</v>
      </c>
      <c r="G4" s="135" t="s">
        <v>21</v>
      </c>
      <c r="H4" s="135" t="s">
        <v>22</v>
      </c>
      <c r="I4" s="135" t="s">
        <v>23</v>
      </c>
      <c r="J4" s="135" t="s">
        <v>24</v>
      </c>
      <c r="K4" s="135" t="s">
        <v>25</v>
      </c>
      <c r="L4" s="135" t="s">
        <v>26</v>
      </c>
    </row>
    <row r="5" spans="3:12" ht="19.5" thickBot="1" x14ac:dyDescent="0.35">
      <c r="C5" s="99">
        <v>1</v>
      </c>
      <c r="D5" s="100" t="str">
        <f>'7'!D5</f>
        <v>ARGENTINOS F.C</v>
      </c>
      <c r="E5" s="100">
        <f>COUNTA('7'!E6:E8)</f>
        <v>0</v>
      </c>
      <c r="F5" s="100">
        <f>COUNTIF('7'!$H$5:$H$8,3)</f>
        <v>0</v>
      </c>
      <c r="G5" s="100">
        <f>COUNTIF('7'!$H$5:$H$8,1)</f>
        <v>0</v>
      </c>
      <c r="H5" s="100">
        <f>COUNTIF('7'!$H$5:$H$8,0)</f>
        <v>0</v>
      </c>
      <c r="I5" s="103">
        <f>SUM('7'!$G$5:$G$8)</f>
        <v>0</v>
      </c>
      <c r="J5" s="103">
        <f>SUM('7'!$F$5:$F$8)</f>
        <v>0</v>
      </c>
      <c r="K5" s="100">
        <f>I5-J5</f>
        <v>0</v>
      </c>
      <c r="L5" s="100">
        <f>(F5*3)+G5</f>
        <v>0</v>
      </c>
    </row>
    <row r="6" spans="3:12" ht="19.5" thickBot="1" x14ac:dyDescent="0.35">
      <c r="C6" s="105">
        <v>2</v>
      </c>
      <c r="D6" s="100" t="str">
        <f>'7'!D6</f>
        <v>SALAMINA F.C</v>
      </c>
      <c r="E6" s="100">
        <f>COUNTA('7'!E6,'7'!J7:J8)</f>
        <v>0</v>
      </c>
      <c r="F6" s="100">
        <f>COUNTIF('7'!$M$5:$M$8,3)</f>
        <v>0</v>
      </c>
      <c r="G6" s="100">
        <f>COUNTIF('7'!$M$5:$M$8,1)</f>
        <v>0</v>
      </c>
      <c r="H6" s="100">
        <f>COUNTIF('7'!$M$5:$M$8,0)</f>
        <v>0</v>
      </c>
      <c r="I6" s="103">
        <f>SUM('7'!$L$5:$L$8)</f>
        <v>0</v>
      </c>
      <c r="J6" s="103">
        <f>SUM('7'!$K$5:$K$8)</f>
        <v>0</v>
      </c>
      <c r="K6" s="100">
        <f>I6-J6</f>
        <v>0</v>
      </c>
      <c r="L6" s="100">
        <f>(F6*3)+G6</f>
        <v>0</v>
      </c>
    </row>
    <row r="7" spans="3:12" ht="19.5" thickBot="1" x14ac:dyDescent="0.35">
      <c r="C7" s="99">
        <v>3</v>
      </c>
      <c r="D7" s="100" t="str">
        <f>'7'!D7</f>
        <v>WESTHAM</v>
      </c>
      <c r="E7" s="100">
        <f>COUNTA('7'!E7,'7'!J7,'7'!O8)</f>
        <v>0</v>
      </c>
      <c r="F7" s="100">
        <f>COUNTIF('7'!$R$5:$R$8,3)</f>
        <v>0</v>
      </c>
      <c r="G7" s="100">
        <f>COUNTIF('7'!$R$5:$R$8,1)</f>
        <v>0</v>
      </c>
      <c r="H7" s="100">
        <f>COUNTIF('7'!$R$5:$R$8,0)</f>
        <v>0</v>
      </c>
      <c r="I7" s="103">
        <f>SUM('7'!$Q$5:$Q$8)</f>
        <v>0</v>
      </c>
      <c r="J7" s="103">
        <f>SUM('7'!$P$5:$P$8)</f>
        <v>0</v>
      </c>
      <c r="K7" s="100">
        <f>I7-J7</f>
        <v>0</v>
      </c>
      <c r="L7" s="100">
        <f>(F7*3)+G7</f>
        <v>0</v>
      </c>
    </row>
    <row r="8" spans="3:12" ht="19.5" thickBot="1" x14ac:dyDescent="0.35">
      <c r="C8" s="105">
        <v>4</v>
      </c>
      <c r="D8" s="100" t="str">
        <f>'7'!D8</f>
        <v xml:space="preserve"> </v>
      </c>
      <c r="E8" s="100">
        <f>COUNTA('7'!E8,'7'!J8,'7'!O8)</f>
        <v>0</v>
      </c>
      <c r="F8" s="100">
        <f>COUNTIF('7'!$W$5:$W$8,3)</f>
        <v>0</v>
      </c>
      <c r="G8" s="100">
        <f>COUNTIF('7'!$W$5:$W$8,1)</f>
        <v>0</v>
      </c>
      <c r="H8" s="100">
        <f>COUNTIF('7'!$W$5:$W$8,0)</f>
        <v>0</v>
      </c>
      <c r="I8" s="103">
        <f>SUM('7'!$V$5:$V$8)</f>
        <v>0</v>
      </c>
      <c r="J8" s="103">
        <f>SUM('7'!$U$5:$U$8)</f>
        <v>0</v>
      </c>
      <c r="K8" s="100">
        <f>I8-J8</f>
        <v>0</v>
      </c>
      <c r="L8" s="100">
        <f>(F8*3)+G8</f>
        <v>0</v>
      </c>
    </row>
    <row r="9" spans="3:12" x14ac:dyDescent="0.25">
      <c r="E9" s="96">
        <f>SUM(E5:E8)/2</f>
        <v>0</v>
      </c>
      <c r="F9" s="96">
        <f>SUM(F5:F8)</f>
        <v>0</v>
      </c>
      <c r="G9" s="96">
        <f>SUM(G5:G8)/2</f>
        <v>0</v>
      </c>
      <c r="H9" s="96">
        <f>SUM(H5:H8)</f>
        <v>0</v>
      </c>
      <c r="I9" s="96">
        <f>SUM(I5:I8)</f>
        <v>0</v>
      </c>
      <c r="J9" s="96">
        <f>SUM(J5:J8)</f>
        <v>0</v>
      </c>
    </row>
    <row r="11" spans="3:12" ht="18.75" x14ac:dyDescent="0.3">
      <c r="D11" s="306"/>
      <c r="E11" s="306"/>
      <c r="F11" s="306"/>
      <c r="G11" s="306"/>
      <c r="H11" s="306"/>
      <c r="I11" s="306"/>
      <c r="J11" s="306"/>
      <c r="K11" s="306"/>
      <c r="L11" s="306"/>
    </row>
    <row r="13" spans="3:12" x14ac:dyDescent="0.25">
      <c r="D13" s="307"/>
      <c r="E13" s="307"/>
      <c r="F13" s="307"/>
      <c r="G13" s="307"/>
      <c r="H13" s="307"/>
      <c r="I13" s="307"/>
      <c r="J13" s="307"/>
      <c r="K13" s="307"/>
      <c r="L13" s="307"/>
    </row>
  </sheetData>
  <sheetProtection algorithmName="SHA-512" hashValue="e1ltuGMKjphJVHcv93nONmijMcf3KbDuJ4laEONS4m5izjnweKHRhzRolNBDMDDZnhOSEryqtfHBXMXdO8oN0Q==" saltValue="PGPHttpiuIlVTW6bWP0KVQ==" spinCount="100000" sheet="1" sort="0"/>
  <sortState ref="D5:L8">
    <sortCondition descending="1" ref="L5:L8"/>
    <sortCondition descending="1" ref="K5:K8"/>
    <sortCondition ref="E5:E8"/>
    <sortCondition descending="1" ref="I5:I8"/>
    <sortCondition ref="J5:J8"/>
  </sortState>
  <mergeCells count="3">
    <mergeCell ref="D3:L3"/>
    <mergeCell ref="D11:L11"/>
    <mergeCell ref="D13:L1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93D4A-3220-46AE-BC11-5FCFB4B68ECC}">
  <sheetPr codeName="Hoja35"/>
  <dimension ref="A3:X8"/>
  <sheetViews>
    <sheetView showGridLines="0" zoomScale="90" zoomScaleNormal="90" workbookViewId="0"/>
  </sheetViews>
  <sheetFormatPr baseColWidth="10" defaultRowHeight="15" x14ac:dyDescent="0.25"/>
  <cols>
    <col min="1" max="2" width="11.42578125" style="96"/>
    <col min="3" max="3" width="3.28515625" style="96" customWidth="1"/>
    <col min="4" max="4" width="30.7109375" style="96" customWidth="1"/>
    <col min="5" max="5" width="10.7109375" style="96" customWidth="1"/>
    <col min="6" max="7" width="5.7109375" style="96" customWidth="1"/>
    <col min="8" max="8" width="11.42578125" style="96" hidden="1" customWidth="1"/>
    <col min="9" max="10" width="10.7109375" style="96" customWidth="1"/>
    <col min="11" max="12" width="5.7109375" style="96" customWidth="1"/>
    <col min="13" max="13" width="11.42578125" style="96" hidden="1" customWidth="1"/>
    <col min="14" max="15" width="10.7109375" style="96" customWidth="1"/>
    <col min="16" max="17" width="5.7109375" style="96" customWidth="1"/>
    <col min="18" max="18" width="11.42578125" style="96" hidden="1" customWidth="1"/>
    <col min="19" max="20" width="10.7109375" style="96" customWidth="1"/>
    <col min="21" max="22" width="5.7109375" style="96" customWidth="1"/>
    <col min="23" max="23" width="11.42578125" style="96" hidden="1" customWidth="1"/>
    <col min="24" max="24" width="10.7109375" style="96" customWidth="1"/>
    <col min="25" max="25" width="5.7109375" style="96" customWidth="1"/>
    <col min="26" max="26" width="45.7109375" style="96" customWidth="1"/>
    <col min="27" max="27" width="4.28515625" style="96" bestFit="1" customWidth="1"/>
    <col min="28" max="28" width="5.140625" style="96" bestFit="1" customWidth="1"/>
    <col min="29" max="29" width="4.7109375" style="96" bestFit="1" customWidth="1"/>
    <col min="30" max="30" width="4.85546875" style="96" bestFit="1" customWidth="1"/>
    <col min="31" max="31" width="5" style="96" bestFit="1" customWidth="1"/>
    <col min="32" max="32" width="5.140625" style="96" bestFit="1" customWidth="1"/>
    <col min="33" max="33" width="5.42578125" style="96" bestFit="1" customWidth="1"/>
    <col min="34" max="34" width="7.140625" style="96" bestFit="1" customWidth="1"/>
    <col min="35" max="16384" width="11.42578125" style="96"/>
  </cols>
  <sheetData>
    <row r="3" spans="1:24" x14ac:dyDescent="0.25">
      <c r="C3" s="294" t="s">
        <v>37</v>
      </c>
      <c r="D3" s="296" t="s">
        <v>127</v>
      </c>
      <c r="E3" s="289" t="str">
        <f>D5</f>
        <v>EL ALTO</v>
      </c>
      <c r="F3" s="290"/>
      <c r="G3" s="290"/>
      <c r="H3" s="290"/>
      <c r="I3" s="291"/>
      <c r="J3" s="289" t="str">
        <f>D6</f>
        <v>RADAR TOPOGRAFIA</v>
      </c>
      <c r="K3" s="290"/>
      <c r="L3" s="290"/>
      <c r="M3" s="290"/>
      <c r="N3" s="291"/>
      <c r="O3" s="289" t="str">
        <f>D7</f>
        <v>CUCOS F.C</v>
      </c>
      <c r="P3" s="290"/>
      <c r="Q3" s="290"/>
      <c r="R3" s="290"/>
      <c r="S3" s="291"/>
      <c r="T3" s="289" t="str">
        <f>D8</f>
        <v xml:space="preserve"> </v>
      </c>
      <c r="U3" s="290"/>
      <c r="V3" s="290"/>
      <c r="W3" s="290"/>
      <c r="X3" s="291"/>
    </row>
    <row r="4" spans="1:24" x14ac:dyDescent="0.25">
      <c r="C4" s="295"/>
      <c r="D4" s="297"/>
      <c r="E4" s="129" t="s">
        <v>67</v>
      </c>
      <c r="F4" s="292" t="s">
        <v>69</v>
      </c>
      <c r="G4" s="293"/>
      <c r="H4" s="140"/>
      <c r="I4" s="130" t="s">
        <v>68</v>
      </c>
      <c r="J4" s="131" t="s">
        <v>67</v>
      </c>
      <c r="K4" s="292" t="s">
        <v>69</v>
      </c>
      <c r="L4" s="293"/>
      <c r="M4" s="140"/>
      <c r="N4" s="130" t="s">
        <v>68</v>
      </c>
      <c r="O4" s="131" t="s">
        <v>67</v>
      </c>
      <c r="P4" s="292" t="s">
        <v>69</v>
      </c>
      <c r="Q4" s="293"/>
      <c r="R4" s="140"/>
      <c r="S4" s="130" t="s">
        <v>68</v>
      </c>
      <c r="T4" s="131" t="s">
        <v>67</v>
      </c>
      <c r="U4" s="292" t="s">
        <v>69</v>
      </c>
      <c r="V4" s="293"/>
      <c r="W4" s="140"/>
      <c r="X4" s="130" t="s">
        <v>68</v>
      </c>
    </row>
    <row r="5" spans="1:24" x14ac:dyDescent="0.25">
      <c r="A5" s="298"/>
      <c r="B5" s="299"/>
      <c r="C5" s="111">
        <v>1</v>
      </c>
      <c r="D5" s="142" t="str">
        <f>CUADRANGULARES!O22</f>
        <v>EL ALTO</v>
      </c>
      <c r="E5" s="300" t="s">
        <v>66</v>
      </c>
      <c r="F5" s="301"/>
      <c r="G5" s="301"/>
      <c r="H5" s="301"/>
      <c r="I5" s="302"/>
      <c r="J5" s="132" t="str">
        <f>IF(E6&lt;&gt;0,E6," ")</f>
        <v xml:space="preserve"> </v>
      </c>
      <c r="K5" s="133" t="str">
        <f>IF(E6&lt;&gt;0,G6, " ")</f>
        <v xml:space="preserve"> </v>
      </c>
      <c r="L5" s="133" t="str">
        <f>IF(E6&lt;&gt;0,F6," ")</f>
        <v xml:space="preserve"> </v>
      </c>
      <c r="M5" s="128" t="str">
        <f>IF(E6&lt;&gt;0,IF(K5&lt;L5,"3",IF(K5&gt;L5,"0","1")),"")</f>
        <v/>
      </c>
      <c r="N5" s="133" t="str">
        <f>IF(E6&lt;&gt;0,I6," ")</f>
        <v xml:space="preserve"> </v>
      </c>
      <c r="O5" s="132" t="str">
        <f>IF(E7&lt;&gt;0,E7," ")</f>
        <v xml:space="preserve"> </v>
      </c>
      <c r="P5" s="133" t="str">
        <f>IF(E7&lt;&gt;0,G7," ")</f>
        <v xml:space="preserve"> </v>
      </c>
      <c r="Q5" s="133" t="str">
        <f>IF(E7&lt;&gt;0,F7," ")</f>
        <v xml:space="preserve"> </v>
      </c>
      <c r="R5" s="128" t="str">
        <f>IF(E7&lt;&gt;0,IF(P5&lt;Q5,"3",IF(P5&gt;Q5,"0","1")),"")</f>
        <v/>
      </c>
      <c r="S5" s="133" t="str">
        <f>IF(E7&lt;&gt;0,I7," ")</f>
        <v xml:space="preserve"> </v>
      </c>
      <c r="T5" s="132" t="str">
        <f>IF(E8&lt;&gt;0,E8," ")</f>
        <v xml:space="preserve"> </v>
      </c>
      <c r="U5" s="133" t="str">
        <f>IF(E8&lt;&gt;0,G8," ")</f>
        <v xml:space="preserve"> </v>
      </c>
      <c r="V5" s="133" t="str">
        <f>IF(E8&lt;&gt;0,F8," ")</f>
        <v xml:space="preserve"> </v>
      </c>
      <c r="W5" s="128" t="str">
        <f>IF(E8&lt;&gt;0,IF(U5&lt;V5,"3",IF(U5&gt;V5,"0","1")),"")</f>
        <v/>
      </c>
      <c r="X5" s="134" t="str">
        <f>IF(E8&lt;&gt;0,I8," ")</f>
        <v xml:space="preserve"> </v>
      </c>
    </row>
    <row r="6" spans="1:24" x14ac:dyDescent="0.25">
      <c r="A6" s="298"/>
      <c r="B6" s="299"/>
      <c r="C6" s="111">
        <v>2</v>
      </c>
      <c r="D6" s="142" t="str">
        <f>CUADRANGULARES!O25</f>
        <v>RADAR TOPOGRAFIA</v>
      </c>
      <c r="E6" s="93"/>
      <c r="F6" s="94"/>
      <c r="G6" s="94"/>
      <c r="H6" s="95" t="str">
        <f>IF(E6&lt;&gt;0,IF(F6&lt;G6,"3",IF(F6&gt;G6,"0","1")),"")</f>
        <v/>
      </c>
      <c r="I6" s="95"/>
      <c r="J6" s="300" t="s">
        <v>66</v>
      </c>
      <c r="K6" s="301"/>
      <c r="L6" s="301"/>
      <c r="M6" s="301"/>
      <c r="N6" s="302"/>
      <c r="O6" s="136" t="str">
        <f>IF(J7&lt;&gt;0,J7," ")</f>
        <v xml:space="preserve"> </v>
      </c>
      <c r="P6" s="134" t="str">
        <f>IF(J7&lt;&gt;0,L7," ")</f>
        <v xml:space="preserve"> </v>
      </c>
      <c r="Q6" s="137" t="str">
        <f>IF(J7&lt;&gt;0,K7," ")</f>
        <v xml:space="preserve"> </v>
      </c>
      <c r="R6" s="128" t="str">
        <f>IF(J7&lt;&gt;0,IF(P6&lt;Q6,"3",IF(P6&gt;Q6,"0","1")),"")</f>
        <v/>
      </c>
      <c r="S6" s="134" t="str">
        <f>IF(J7&lt;&gt;0,N7," ")</f>
        <v xml:space="preserve"> </v>
      </c>
      <c r="T6" s="136" t="str">
        <f>IF(J8&lt;&gt;0,J8," ")</f>
        <v xml:space="preserve"> </v>
      </c>
      <c r="U6" s="134" t="str">
        <f>IF(J8&lt;&gt;0,L8," ")</f>
        <v xml:space="preserve"> </v>
      </c>
      <c r="V6" s="137" t="str">
        <f>IF(J8&lt;&gt;0,K8," ")</f>
        <v xml:space="preserve"> </v>
      </c>
      <c r="W6" s="128" t="str">
        <f>IF(J8&lt;&gt;0,IF(U6&lt;V6,"3",IF(U6&gt;V6,"0","1")),"")</f>
        <v/>
      </c>
      <c r="X6" s="134" t="str">
        <f>IF(J8&lt;&gt;0,N8," ")</f>
        <v xml:space="preserve"> </v>
      </c>
    </row>
    <row r="7" spans="1:24" x14ac:dyDescent="0.25">
      <c r="A7" s="298"/>
      <c r="B7" s="299"/>
      <c r="C7" s="111">
        <v>3</v>
      </c>
      <c r="D7" s="142" t="str">
        <f>CUADRANGULARES!O28</f>
        <v>CUCOS F.C</v>
      </c>
      <c r="E7" s="93"/>
      <c r="F7" s="94"/>
      <c r="G7" s="94"/>
      <c r="H7" s="95" t="str">
        <f t="shared" ref="H7:H8" si="0">IF(E7&lt;&gt;0,IF(F7&lt;G7,"3",IF(F7&gt;G7,"0","1")),"")</f>
        <v/>
      </c>
      <c r="I7" s="95"/>
      <c r="J7" s="93"/>
      <c r="K7" s="94"/>
      <c r="L7" s="94"/>
      <c r="M7" s="95" t="str">
        <f>IF(J7&lt;&gt;0,IF(K7&lt;L7,"3",IF(K7&gt;L7,"0","1")),"")</f>
        <v/>
      </c>
      <c r="N7" s="95"/>
      <c r="O7" s="300" t="s">
        <v>66</v>
      </c>
      <c r="P7" s="301"/>
      <c r="Q7" s="301"/>
      <c r="R7" s="301"/>
      <c r="S7" s="302"/>
      <c r="T7" s="136" t="str">
        <f>IF(O8&lt;&gt;0,O8," ")</f>
        <v xml:space="preserve"> </v>
      </c>
      <c r="U7" s="134" t="str">
        <f>IF(O8&lt;&gt;0,Q8," ")</f>
        <v xml:space="preserve"> </v>
      </c>
      <c r="V7" s="137" t="str">
        <f>IF(O8&lt;&gt;0,P8," ")</f>
        <v xml:space="preserve"> </v>
      </c>
      <c r="W7" s="128" t="str">
        <f>IF(O8&lt;&gt;0,IF(U7&lt;V7,"3",IF(U7&gt;V7,"0","1")),"")</f>
        <v/>
      </c>
      <c r="X7" s="134" t="str">
        <f>IF(O8&lt;&gt;0,S8," ")</f>
        <v xml:space="preserve"> </v>
      </c>
    </row>
    <row r="8" spans="1:24" x14ac:dyDescent="0.25">
      <c r="A8" s="298"/>
      <c r="B8" s="299"/>
      <c r="C8" s="111">
        <v>4</v>
      </c>
      <c r="D8" s="142" t="str">
        <f>CUADRANGULARES!O31</f>
        <v xml:space="preserve"> </v>
      </c>
      <c r="E8" s="93"/>
      <c r="F8" s="94"/>
      <c r="G8" s="94"/>
      <c r="H8" s="95" t="str">
        <f t="shared" si="0"/>
        <v/>
      </c>
      <c r="I8" s="95"/>
      <c r="J8" s="93"/>
      <c r="K8" s="94"/>
      <c r="L8" s="94"/>
      <c r="M8" s="95" t="str">
        <f t="shared" ref="M8" si="1">IF(J8&lt;&gt;0,IF(K8&lt;L8,"3",IF(K8&gt;L8,"0","1")),"")</f>
        <v/>
      </c>
      <c r="N8" s="95"/>
      <c r="O8" s="93"/>
      <c r="P8" s="94"/>
      <c r="Q8" s="94"/>
      <c r="R8" s="95" t="str">
        <f>IF(O8&lt;&gt;0,IF(P8&lt;Q8,"3",IF(P8&gt;Q8,"0","1")),"")</f>
        <v/>
      </c>
      <c r="S8" s="95"/>
      <c r="T8" s="300" t="s">
        <v>66</v>
      </c>
      <c r="U8" s="301"/>
      <c r="V8" s="301"/>
      <c r="W8" s="301"/>
      <c r="X8" s="302"/>
    </row>
  </sheetData>
  <sheetProtection algorithmName="SHA-512" hashValue="1TWnjCFesR4YIBTdOCYcLfd302K9QaBiHAC6IfMobaY79Jj+fUFNufW8HrHWQZuD0jH3rVuAI0WGftxyDrcsGA==" saltValue="bcMDgQQmcpw0DIC8BaxEZQ==" spinCount="100000" sheet="1" formatCells="0" sort="0"/>
  <mergeCells count="18">
    <mergeCell ref="A5:B5"/>
    <mergeCell ref="A6:B6"/>
    <mergeCell ref="A7:B7"/>
    <mergeCell ref="A8:B8"/>
    <mergeCell ref="E5:I5"/>
    <mergeCell ref="J6:N6"/>
    <mergeCell ref="O7:S7"/>
    <mergeCell ref="T8:X8"/>
    <mergeCell ref="C3:C4"/>
    <mergeCell ref="D3:D4"/>
    <mergeCell ref="E3:I3"/>
    <mergeCell ref="J3:N3"/>
    <mergeCell ref="O3:S3"/>
    <mergeCell ref="T3:X3"/>
    <mergeCell ref="F4:G4"/>
    <mergeCell ref="K4:L4"/>
    <mergeCell ref="P4:Q4"/>
    <mergeCell ref="U4:V4"/>
  </mergeCells>
  <conditionalFormatting sqref="T7:V7 O6:Q6 E6:G6 E7:H8 I7:N7 I8:S8 J5:Q5 S5:V6 X5:X7 I6">
    <cfRule type="notContainsBlanks" dxfId="15" priority="5">
      <formula>LEN(TRIM(E5))&gt;0</formula>
    </cfRule>
  </conditionalFormatting>
  <conditionalFormatting sqref="J5:Q5 S5:U5">
    <cfRule type="notContainsBlanks" dxfId="14" priority="6">
      <formula>LEN(TRIM(J5))&gt;0</formula>
    </cfRule>
  </conditionalFormatting>
  <conditionalFormatting sqref="V5">
    <cfRule type="notContainsBlanks" dxfId="13" priority="4">
      <formula>LEN(TRIM(V5))&gt;0</formula>
    </cfRule>
  </conditionalFormatting>
  <conditionalFormatting sqref="R5:R6">
    <cfRule type="notContainsBlanks" dxfId="12" priority="3">
      <formula>LEN(TRIM(R5))&gt;0</formula>
    </cfRule>
  </conditionalFormatting>
  <conditionalFormatting sqref="W5:W7">
    <cfRule type="notContainsBlanks" dxfId="11" priority="2">
      <formula>LEN(TRIM(W5))&gt;0</formula>
    </cfRule>
  </conditionalFormatting>
  <conditionalFormatting sqref="H6">
    <cfRule type="notContainsBlanks" dxfId="10" priority="1">
      <formula>LEN(TRIM(H6))&gt;0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0A709-3281-406B-AE6E-3433563AB97E}">
  <sheetPr codeName="Hoja19"/>
  <dimension ref="C2:L13"/>
  <sheetViews>
    <sheetView showGridLines="0" zoomScale="90" zoomScaleNormal="90" workbookViewId="0"/>
  </sheetViews>
  <sheetFormatPr baseColWidth="10" defaultRowHeight="15" x14ac:dyDescent="0.25"/>
  <cols>
    <col min="1" max="1" width="11.42578125" style="96"/>
    <col min="2" max="2" width="5.7109375" style="96" customWidth="1"/>
    <col min="3" max="3" width="4.7109375" style="96" customWidth="1"/>
    <col min="4" max="4" width="60.7109375" style="96" customWidth="1"/>
    <col min="5" max="10" width="5.7109375" style="96" customWidth="1"/>
    <col min="11" max="11" width="5.7109375" style="141" customWidth="1"/>
    <col min="12" max="12" width="7.7109375" style="96" customWidth="1"/>
    <col min="13" max="13" width="11.42578125" style="96"/>
    <col min="14" max="14" width="4.140625" style="96" bestFit="1" customWidth="1"/>
    <col min="15" max="15" width="45.7109375" style="96" customWidth="1"/>
    <col min="16" max="16" width="4.28515625" style="96" bestFit="1" customWidth="1"/>
    <col min="17" max="17" width="5.140625" style="96" bestFit="1" customWidth="1"/>
    <col min="18" max="18" width="4.7109375" style="96" bestFit="1" customWidth="1"/>
    <col min="19" max="19" width="4.85546875" style="96" bestFit="1" customWidth="1"/>
    <col min="20" max="20" width="5" style="96" bestFit="1" customWidth="1"/>
    <col min="21" max="21" width="5.140625" style="96" bestFit="1" customWidth="1"/>
    <col min="22" max="22" width="5.42578125" style="96" bestFit="1" customWidth="1"/>
    <col min="23" max="23" width="7.140625" style="96" bestFit="1" customWidth="1"/>
    <col min="24" max="16384" width="11.42578125" style="96"/>
  </cols>
  <sheetData>
    <row r="2" spans="3:12" ht="15.75" thickBot="1" x14ac:dyDescent="0.3"/>
    <row r="3" spans="3:12" ht="19.5" thickBot="1" x14ac:dyDescent="0.35">
      <c r="D3" s="303" t="s">
        <v>127</v>
      </c>
      <c r="E3" s="304"/>
      <c r="F3" s="304"/>
      <c r="G3" s="304"/>
      <c r="H3" s="304"/>
      <c r="I3" s="304"/>
      <c r="J3" s="304"/>
      <c r="K3" s="304"/>
      <c r="L3" s="305"/>
    </row>
    <row r="4" spans="3:12" ht="19.5" thickBot="1" x14ac:dyDescent="0.35">
      <c r="D4" s="105" t="s">
        <v>16</v>
      </c>
      <c r="E4" s="135" t="s">
        <v>19</v>
      </c>
      <c r="F4" s="135" t="s">
        <v>20</v>
      </c>
      <c r="G4" s="135" t="s">
        <v>21</v>
      </c>
      <c r="H4" s="135" t="s">
        <v>22</v>
      </c>
      <c r="I4" s="135" t="s">
        <v>23</v>
      </c>
      <c r="J4" s="135" t="s">
        <v>24</v>
      </c>
      <c r="K4" s="135" t="s">
        <v>25</v>
      </c>
      <c r="L4" s="135" t="s">
        <v>26</v>
      </c>
    </row>
    <row r="5" spans="3:12" ht="19.5" thickBot="1" x14ac:dyDescent="0.35">
      <c r="C5" s="99">
        <v>1</v>
      </c>
      <c r="D5" s="100" t="str">
        <f>'8'!D5</f>
        <v>EL ALTO</v>
      </c>
      <c r="E5" s="100">
        <f>COUNTA('8'!E6:E8)</f>
        <v>0</v>
      </c>
      <c r="F5" s="100">
        <f>COUNTIF('8'!$H$5:$H$8,3)</f>
        <v>0</v>
      </c>
      <c r="G5" s="100">
        <f>COUNTIF('8'!$H$5:$H$8,1)</f>
        <v>0</v>
      </c>
      <c r="H5" s="100">
        <f>COUNTIF('8'!$H$5:$H$8,0)</f>
        <v>0</v>
      </c>
      <c r="I5" s="103">
        <f>SUM('8'!$G$5:$G$8)</f>
        <v>0</v>
      </c>
      <c r="J5" s="103">
        <f>SUM('8'!$F$5:$F$8)</f>
        <v>0</v>
      </c>
      <c r="K5" s="100">
        <f>I5-J5</f>
        <v>0</v>
      </c>
      <c r="L5" s="100">
        <f>(F5*3)+G5</f>
        <v>0</v>
      </c>
    </row>
    <row r="6" spans="3:12" ht="19.5" thickBot="1" x14ac:dyDescent="0.35">
      <c r="C6" s="105">
        <v>2</v>
      </c>
      <c r="D6" s="100" t="str">
        <f>'8'!D6</f>
        <v>RADAR TOPOGRAFIA</v>
      </c>
      <c r="E6" s="100">
        <f>COUNTA('8'!E6,'8'!J7:J8)</f>
        <v>0</v>
      </c>
      <c r="F6" s="100">
        <f>COUNTIF('8'!$M$5:$M$8,3)</f>
        <v>0</v>
      </c>
      <c r="G6" s="100">
        <f>COUNTIF('8'!$M$5:$M$8,1)</f>
        <v>0</v>
      </c>
      <c r="H6" s="100">
        <f>COUNTIF('8'!$M$5:$M$8,0)</f>
        <v>0</v>
      </c>
      <c r="I6" s="103">
        <f>SUM('8'!$L$5:$L$8)</f>
        <v>0</v>
      </c>
      <c r="J6" s="103">
        <f>SUM('8'!$K$5:$K$8)</f>
        <v>0</v>
      </c>
      <c r="K6" s="100">
        <f>I6-J6</f>
        <v>0</v>
      </c>
      <c r="L6" s="100">
        <f>(F6*3)+G6</f>
        <v>0</v>
      </c>
    </row>
    <row r="7" spans="3:12" ht="19.5" thickBot="1" x14ac:dyDescent="0.35">
      <c r="C7" s="99">
        <v>3</v>
      </c>
      <c r="D7" s="100" t="str">
        <f>'8'!D7</f>
        <v>CUCOS F.C</v>
      </c>
      <c r="E7" s="100">
        <f>COUNTA('8'!E7,'8'!J7,'8'!O8)</f>
        <v>0</v>
      </c>
      <c r="F7" s="100">
        <f>COUNTIF('8'!$R$5:$R$8,3)</f>
        <v>0</v>
      </c>
      <c r="G7" s="100">
        <f>COUNTIF('8'!$R$5:$R$8,1)</f>
        <v>0</v>
      </c>
      <c r="H7" s="100">
        <f>COUNTIF('8'!$R$5:$R$8,0)</f>
        <v>0</v>
      </c>
      <c r="I7" s="103">
        <f>SUM('8'!$Q$5:$Q$8)</f>
        <v>0</v>
      </c>
      <c r="J7" s="103">
        <f>SUM('8'!$P$5:$P$8)</f>
        <v>0</v>
      </c>
      <c r="K7" s="100">
        <f>I7-J7</f>
        <v>0</v>
      </c>
      <c r="L7" s="100">
        <f>(F7*3)+G7</f>
        <v>0</v>
      </c>
    </row>
    <row r="8" spans="3:12" ht="19.5" thickBot="1" x14ac:dyDescent="0.35">
      <c r="C8" s="105">
        <v>4</v>
      </c>
      <c r="D8" s="100" t="str">
        <f>'8'!D8</f>
        <v xml:space="preserve"> </v>
      </c>
      <c r="E8" s="100">
        <f>COUNTA('8'!E8,'8'!J8,'8'!O8)</f>
        <v>0</v>
      </c>
      <c r="F8" s="100">
        <f>COUNTIF('8'!$W$5:$W$8,3)</f>
        <v>0</v>
      </c>
      <c r="G8" s="100">
        <f>COUNTIF('8'!$W$5:$W$8,1)</f>
        <v>0</v>
      </c>
      <c r="H8" s="100">
        <f>COUNTIF('8'!$W$5:$W$8,0)</f>
        <v>0</v>
      </c>
      <c r="I8" s="103">
        <f>SUM('8'!$V$5:$V$8)</f>
        <v>0</v>
      </c>
      <c r="J8" s="103">
        <f>SUM('8'!$U$5:$U$8)</f>
        <v>0</v>
      </c>
      <c r="K8" s="100">
        <f>I8-J8</f>
        <v>0</v>
      </c>
      <c r="L8" s="100">
        <f>(F8*3)+G8</f>
        <v>0</v>
      </c>
    </row>
    <row r="9" spans="3:12" x14ac:dyDescent="0.25">
      <c r="E9" s="96">
        <f>SUM(E5:E8)/2</f>
        <v>0</v>
      </c>
      <c r="F9" s="96">
        <f>SUM(F5:F8)</f>
        <v>0</v>
      </c>
      <c r="G9" s="96">
        <f>SUM(G5:G8)/2</f>
        <v>0</v>
      </c>
      <c r="H9" s="96">
        <f>SUM(H5:H8)</f>
        <v>0</v>
      </c>
      <c r="I9" s="96">
        <f>SUM(I5:I8)</f>
        <v>0</v>
      </c>
      <c r="J9" s="96">
        <f>SUM(J5:J8)</f>
        <v>0</v>
      </c>
    </row>
    <row r="11" spans="3:12" ht="18.75" x14ac:dyDescent="0.3">
      <c r="D11" s="306"/>
      <c r="E11" s="306"/>
      <c r="F11" s="306"/>
      <c r="G11" s="306"/>
      <c r="H11" s="306"/>
      <c r="I11" s="306"/>
      <c r="J11" s="306"/>
      <c r="K11" s="306"/>
      <c r="L11" s="306"/>
    </row>
    <row r="13" spans="3:12" x14ac:dyDescent="0.25">
      <c r="D13" s="307"/>
      <c r="E13" s="307"/>
      <c r="F13" s="307"/>
      <c r="G13" s="307"/>
      <c r="H13" s="307"/>
      <c r="I13" s="307"/>
      <c r="J13" s="307"/>
      <c r="K13" s="307"/>
      <c r="L13" s="307"/>
    </row>
  </sheetData>
  <sheetProtection algorithmName="SHA-512" hashValue="Ao4GTAIUG0J2eOwoiMOZgsWekaQ8u6xfS+rhzh5+eexS19RiMCaqEjR8rWBi8YNwKGTOLw1bER5dchD4K/uAlQ==" saltValue="yq95ffDOTk/MKFMjOk1vdA==" spinCount="100000" sheet="1" sort="0"/>
  <sortState ref="D5:L8">
    <sortCondition descending="1" ref="L5:L8"/>
    <sortCondition descending="1" ref="K5:K8"/>
    <sortCondition ref="E5:E8"/>
    <sortCondition descending="1" ref="I5:I8"/>
    <sortCondition ref="J5:J8"/>
  </sortState>
  <mergeCells count="3">
    <mergeCell ref="D3:L3"/>
    <mergeCell ref="D11:L11"/>
    <mergeCell ref="D13:L1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F1:W30"/>
  <sheetViews>
    <sheetView zoomScale="70" zoomScaleNormal="70" workbookViewId="0">
      <selection activeCell="M6" sqref="M6:P12"/>
    </sheetView>
  </sheetViews>
  <sheetFormatPr baseColWidth="10" defaultRowHeight="24.95" customHeight="1" x14ac:dyDescent="0.25"/>
  <cols>
    <col min="1" max="4" width="11.42578125" style="112"/>
    <col min="5" max="5" width="2.7109375" style="112" customWidth="1"/>
    <col min="6" max="6" width="43" style="112" bestFit="1" customWidth="1"/>
    <col min="7" max="7" width="10.5703125" style="161" customWidth="1"/>
    <col min="8" max="8" width="19.7109375" style="112" customWidth="1"/>
    <col min="9" max="9" width="11.42578125" style="161"/>
    <col min="10" max="10" width="18.28515625" style="112" customWidth="1"/>
    <col min="11" max="11" width="8.42578125" style="112" customWidth="1"/>
    <col min="12" max="12" width="11" style="112" customWidth="1"/>
    <col min="13" max="13" width="9.42578125" style="112" customWidth="1"/>
    <col min="14" max="16" width="8.42578125" style="112" customWidth="1"/>
    <col min="17" max="17" width="11.42578125" style="112"/>
    <col min="18" max="18" width="8.28515625" style="112" customWidth="1"/>
    <col min="19" max="19" width="19.7109375" style="112" customWidth="1"/>
    <col min="20" max="20" width="11.42578125" style="161"/>
    <col min="21" max="21" width="21.28515625" style="112" customWidth="1"/>
    <col min="22" max="22" width="10.5703125" style="161" customWidth="1"/>
    <col min="23" max="23" width="43" style="112" bestFit="1" customWidth="1"/>
    <col min="24" max="24" width="2.7109375" style="112" customWidth="1"/>
    <col min="25" max="16384" width="11.42578125" style="112"/>
  </cols>
  <sheetData>
    <row r="1" spans="6:23" ht="24.95" customHeight="1" thickBot="1" x14ac:dyDescent="0.3"/>
    <row r="2" spans="6:23" ht="24.95" customHeight="1" x14ac:dyDescent="0.25">
      <c r="F2" s="181" t="s">
        <v>0</v>
      </c>
      <c r="G2" s="314"/>
      <c r="V2" s="315"/>
      <c r="W2" s="181" t="s">
        <v>58</v>
      </c>
    </row>
    <row r="3" spans="6:23" ht="24.95" customHeight="1" thickBot="1" x14ac:dyDescent="0.3">
      <c r="F3" s="182" t="str">
        <f>'C1'!D5</f>
        <v>DISTRIBUIDORA LA ESQUINA</v>
      </c>
      <c r="G3" s="314"/>
      <c r="V3" s="315"/>
      <c r="W3" s="182" t="str">
        <f>'C7'!D5</f>
        <v>ARGENTINOS F.C</v>
      </c>
    </row>
    <row r="4" spans="6:23" ht="24.95" customHeight="1" x14ac:dyDescent="0.25">
      <c r="F4" s="162"/>
      <c r="G4" s="163"/>
      <c r="H4" s="308"/>
      <c r="I4" s="314"/>
      <c r="J4" s="164"/>
      <c r="K4" s="164"/>
      <c r="L4" s="164"/>
      <c r="M4" s="164"/>
      <c r="N4" s="164"/>
      <c r="O4" s="164"/>
      <c r="P4" s="164"/>
      <c r="Q4" s="164"/>
      <c r="R4" s="164"/>
      <c r="T4" s="315"/>
      <c r="U4" s="308"/>
      <c r="V4" s="165"/>
    </row>
    <row r="5" spans="6:23" ht="24.95" customHeight="1" thickBot="1" x14ac:dyDescent="0.3">
      <c r="F5" s="166"/>
      <c r="H5" s="309"/>
      <c r="I5" s="314"/>
      <c r="J5" s="164"/>
      <c r="K5" s="164"/>
      <c r="L5" s="164"/>
      <c r="M5" s="164"/>
      <c r="N5" s="164"/>
      <c r="O5" s="164"/>
      <c r="P5" s="164"/>
      <c r="Q5" s="164"/>
      <c r="R5" s="164"/>
      <c r="T5" s="315"/>
      <c r="U5" s="309"/>
      <c r="V5" s="167"/>
    </row>
    <row r="6" spans="6:23" ht="24.95" customHeight="1" x14ac:dyDescent="0.25">
      <c r="F6" s="181" t="s">
        <v>59</v>
      </c>
      <c r="G6" s="314"/>
      <c r="I6" s="168"/>
      <c r="K6" s="169"/>
      <c r="L6" s="169"/>
      <c r="M6" s="316" t="s">
        <v>8</v>
      </c>
      <c r="N6" s="317"/>
      <c r="O6" s="317"/>
      <c r="P6" s="318"/>
      <c r="Q6" s="169"/>
      <c r="R6" s="169"/>
      <c r="U6" s="170"/>
      <c r="V6" s="315"/>
      <c r="W6" s="181" t="s">
        <v>3</v>
      </c>
    </row>
    <row r="7" spans="6:23" ht="24.95" customHeight="1" thickBot="1" x14ac:dyDescent="0.3">
      <c r="F7" s="182" t="str">
        <f>'C7'!D6</f>
        <v>SALAMINA F.C</v>
      </c>
      <c r="G7" s="314"/>
      <c r="I7" s="168"/>
      <c r="M7" s="319"/>
      <c r="N7" s="320"/>
      <c r="O7" s="320"/>
      <c r="P7" s="321"/>
      <c r="U7" s="171"/>
      <c r="V7" s="315"/>
      <c r="W7" s="183" t="str">
        <f>'C1'!D6</f>
        <v>BODEGAS COLOMBIA</v>
      </c>
    </row>
    <row r="8" spans="6:23" ht="24.95" customHeight="1" x14ac:dyDescent="0.25">
      <c r="I8" s="172"/>
      <c r="J8" s="308"/>
      <c r="K8" s="314"/>
      <c r="L8" s="173"/>
      <c r="M8" s="319"/>
      <c r="N8" s="320"/>
      <c r="O8" s="320"/>
      <c r="P8" s="321"/>
      <c r="R8" s="315"/>
      <c r="S8" s="308"/>
      <c r="T8" s="174"/>
      <c r="U8" s="171"/>
    </row>
    <row r="9" spans="6:23" ht="24.95" customHeight="1" thickBot="1" x14ac:dyDescent="0.3">
      <c r="I9" s="168"/>
      <c r="J9" s="309"/>
      <c r="K9" s="314"/>
      <c r="L9" s="173"/>
      <c r="M9" s="319"/>
      <c r="N9" s="320"/>
      <c r="O9" s="320"/>
      <c r="P9" s="321"/>
      <c r="R9" s="315"/>
      <c r="S9" s="309"/>
      <c r="T9" s="164"/>
      <c r="U9" s="171"/>
    </row>
    <row r="10" spans="6:23" ht="24.95" customHeight="1" x14ac:dyDescent="0.25">
      <c r="F10" s="181" t="s">
        <v>60</v>
      </c>
      <c r="G10" s="314"/>
      <c r="I10" s="168"/>
      <c r="J10" s="162"/>
      <c r="M10" s="319"/>
      <c r="N10" s="320"/>
      <c r="O10" s="320"/>
      <c r="P10" s="321"/>
      <c r="Q10" s="164"/>
      <c r="R10" s="175"/>
      <c r="U10" s="171"/>
      <c r="V10" s="315"/>
      <c r="W10" s="181" t="s">
        <v>6</v>
      </c>
    </row>
    <row r="11" spans="6:23" ht="24.95" customHeight="1" thickBot="1" x14ac:dyDescent="0.3">
      <c r="F11" s="183" t="str">
        <f>'C5'!D5</f>
        <v>ESTAMPADOS SANTI</v>
      </c>
      <c r="G11" s="314"/>
      <c r="I11" s="168"/>
      <c r="J11" s="175"/>
      <c r="M11" s="319"/>
      <c r="N11" s="320"/>
      <c r="O11" s="320"/>
      <c r="P11" s="321"/>
      <c r="Q11" s="164"/>
      <c r="R11" s="175"/>
      <c r="U11" s="176"/>
      <c r="V11" s="315"/>
      <c r="W11" s="183" t="str">
        <f>'C3'!D5</f>
        <v>EMBRAGUES Y CAJAS QUINTERO</v>
      </c>
    </row>
    <row r="12" spans="6:23" ht="24.95" customHeight="1" thickBot="1" x14ac:dyDescent="0.3">
      <c r="F12" s="162"/>
      <c r="G12" s="163"/>
      <c r="H12" s="308"/>
      <c r="I12" s="314"/>
      <c r="J12" s="167"/>
      <c r="K12" s="164"/>
      <c r="L12" s="164"/>
      <c r="M12" s="322"/>
      <c r="N12" s="323"/>
      <c r="O12" s="323"/>
      <c r="P12" s="324"/>
      <c r="R12" s="167"/>
      <c r="T12" s="315"/>
      <c r="U12" s="308"/>
      <c r="V12" s="165"/>
    </row>
    <row r="13" spans="6:23" ht="24.95" customHeight="1" thickBot="1" x14ac:dyDescent="0.3">
      <c r="F13" s="166"/>
      <c r="H13" s="309"/>
      <c r="I13" s="314"/>
      <c r="J13" s="167"/>
      <c r="K13" s="164"/>
      <c r="L13" s="164"/>
      <c r="M13" s="164"/>
      <c r="N13" s="164"/>
      <c r="O13" s="164"/>
      <c r="P13" s="164"/>
      <c r="R13" s="167"/>
      <c r="T13" s="315"/>
      <c r="U13" s="309"/>
      <c r="V13" s="167"/>
    </row>
    <row r="14" spans="6:23" ht="24.95" customHeight="1" thickBot="1" x14ac:dyDescent="0.3">
      <c r="F14" s="181" t="s">
        <v>7</v>
      </c>
      <c r="G14" s="314"/>
      <c r="J14" s="175"/>
      <c r="R14" s="175"/>
      <c r="V14" s="315"/>
      <c r="W14" s="181" t="s">
        <v>61</v>
      </c>
    </row>
    <row r="15" spans="6:23" ht="24.95" customHeight="1" thickBot="1" x14ac:dyDescent="0.3">
      <c r="F15" s="183" t="str">
        <f>'C3'!D6</f>
        <v>EL PARCHE</v>
      </c>
      <c r="G15" s="314"/>
      <c r="J15" s="175"/>
      <c r="K15" s="177"/>
      <c r="L15" s="308"/>
      <c r="M15" s="178"/>
      <c r="N15" s="310"/>
      <c r="O15" s="311"/>
      <c r="P15" s="179"/>
      <c r="Q15" s="308"/>
      <c r="R15" s="180"/>
      <c r="V15" s="315"/>
      <c r="W15" s="183" t="str">
        <f>'C5'!D6</f>
        <v>SURTIYA</v>
      </c>
    </row>
    <row r="16" spans="6:23" ht="24.95" customHeight="1" thickBot="1" x14ac:dyDescent="0.3">
      <c r="J16" s="175"/>
      <c r="L16" s="309"/>
      <c r="M16" s="164"/>
      <c r="N16" s="312"/>
      <c r="O16" s="313"/>
      <c r="Q16" s="309"/>
      <c r="R16" s="175"/>
    </row>
    <row r="17" spans="6:23" ht="24.95" customHeight="1" x14ac:dyDescent="0.25">
      <c r="F17" s="181" t="s">
        <v>2</v>
      </c>
      <c r="G17" s="314"/>
      <c r="J17" s="175"/>
      <c r="Q17" s="164"/>
      <c r="R17" s="175"/>
      <c r="V17" s="315"/>
      <c r="W17" s="181" t="s">
        <v>62</v>
      </c>
    </row>
    <row r="18" spans="6:23" ht="24.95" customHeight="1" thickBot="1" x14ac:dyDescent="0.3">
      <c r="F18" s="182" t="str">
        <f>'C2'!D5</f>
        <v>ABC JURIDICAS S.A.S ( B )</v>
      </c>
      <c r="G18" s="314"/>
      <c r="J18" s="175"/>
      <c r="Q18" s="164"/>
      <c r="R18" s="175"/>
      <c r="V18" s="315"/>
      <c r="W18" s="182" t="str">
        <f>'C8'!D5</f>
        <v>EL ALTO</v>
      </c>
    </row>
    <row r="19" spans="6:23" ht="24.95" customHeight="1" x14ac:dyDescent="0.25">
      <c r="F19" s="162"/>
      <c r="G19" s="163"/>
      <c r="H19" s="308"/>
      <c r="I19" s="314"/>
      <c r="J19" s="167"/>
      <c r="K19" s="164"/>
      <c r="L19" s="164"/>
      <c r="M19" s="164"/>
      <c r="N19" s="164"/>
      <c r="O19" s="164"/>
      <c r="P19" s="164"/>
      <c r="R19" s="167"/>
      <c r="T19" s="315"/>
      <c r="U19" s="308"/>
      <c r="V19" s="165"/>
    </row>
    <row r="20" spans="6:23" ht="24.95" customHeight="1" thickBot="1" x14ac:dyDescent="0.3">
      <c r="F20" s="166"/>
      <c r="H20" s="309"/>
      <c r="I20" s="314"/>
      <c r="J20" s="167"/>
      <c r="K20" s="164"/>
      <c r="L20" s="164"/>
      <c r="M20" s="164"/>
      <c r="N20" s="164"/>
      <c r="O20" s="164"/>
      <c r="P20" s="164"/>
      <c r="R20" s="167"/>
      <c r="T20" s="315"/>
      <c r="U20" s="309"/>
      <c r="V20" s="167"/>
    </row>
    <row r="21" spans="6:23" ht="24.95" customHeight="1" x14ac:dyDescent="0.25">
      <c r="F21" s="181" t="s">
        <v>63</v>
      </c>
      <c r="G21" s="314"/>
      <c r="I21" s="168"/>
      <c r="J21" s="175"/>
      <c r="R21" s="175"/>
      <c r="U21" s="170"/>
      <c r="V21" s="315"/>
      <c r="W21" s="181" t="s">
        <v>1</v>
      </c>
    </row>
    <row r="22" spans="6:23" ht="24.95" customHeight="1" thickBot="1" x14ac:dyDescent="0.3">
      <c r="F22" s="182" t="str">
        <f>'C8'!D6</f>
        <v>RADAR TOPOGRAFIA</v>
      </c>
      <c r="G22" s="314"/>
      <c r="I22" s="168"/>
      <c r="J22" s="166"/>
      <c r="K22" s="173"/>
      <c r="L22" s="173"/>
      <c r="M22" s="173"/>
      <c r="N22" s="173"/>
      <c r="O22" s="173"/>
      <c r="P22" s="173"/>
      <c r="Q22" s="164"/>
      <c r="R22" s="175"/>
      <c r="U22" s="171"/>
      <c r="V22" s="315"/>
      <c r="W22" s="182" t="str">
        <f>'C2'!D6</f>
        <v>LOS PRIMOS</v>
      </c>
    </row>
    <row r="23" spans="6:23" ht="24.95" customHeight="1" x14ac:dyDescent="0.25">
      <c r="I23" s="172"/>
      <c r="J23" s="308"/>
      <c r="K23" s="314"/>
      <c r="L23" s="173"/>
      <c r="M23" s="173"/>
      <c r="N23" s="173"/>
      <c r="O23" s="173"/>
      <c r="P23" s="173"/>
      <c r="Q23" s="164"/>
      <c r="R23" s="315"/>
      <c r="S23" s="308"/>
      <c r="T23" s="174"/>
      <c r="U23" s="171"/>
    </row>
    <row r="24" spans="6:23" ht="24.95" customHeight="1" thickBot="1" x14ac:dyDescent="0.3">
      <c r="I24" s="168"/>
      <c r="J24" s="309"/>
      <c r="K24" s="314"/>
      <c r="R24" s="315"/>
      <c r="S24" s="309"/>
      <c r="T24" s="164"/>
      <c r="U24" s="171"/>
    </row>
    <row r="25" spans="6:23" ht="24.95" customHeight="1" x14ac:dyDescent="0.25">
      <c r="F25" s="181" t="s">
        <v>64</v>
      </c>
      <c r="G25" s="314"/>
      <c r="I25" s="168"/>
      <c r="U25" s="171"/>
      <c r="V25" s="315"/>
      <c r="W25" s="181" t="s">
        <v>5</v>
      </c>
    </row>
    <row r="26" spans="6:23" ht="24.95" customHeight="1" thickBot="1" x14ac:dyDescent="0.3">
      <c r="F26" s="182" t="str">
        <f>'C6'!D5</f>
        <v>BILIF MANIZALES (EL CARMEN)</v>
      </c>
      <c r="G26" s="314"/>
      <c r="I26" s="168"/>
      <c r="K26" s="164"/>
      <c r="L26" s="164"/>
      <c r="M26" s="164"/>
      <c r="N26" s="164"/>
      <c r="O26" s="164"/>
      <c r="P26" s="164"/>
      <c r="R26" s="164"/>
      <c r="U26" s="176"/>
      <c r="V26" s="315"/>
      <c r="W26" s="183" t="str">
        <f>'C4'!D5</f>
        <v>ABC JURIDICAS S.A.S ( A )</v>
      </c>
    </row>
    <row r="27" spans="6:23" ht="24.95" customHeight="1" x14ac:dyDescent="0.25">
      <c r="F27" s="162"/>
      <c r="G27" s="163"/>
      <c r="H27" s="308"/>
      <c r="I27" s="314"/>
      <c r="J27" s="164"/>
      <c r="K27" s="164"/>
      <c r="L27" s="164"/>
      <c r="M27" s="164"/>
      <c r="N27" s="164"/>
      <c r="O27" s="164"/>
      <c r="P27" s="164"/>
      <c r="R27" s="164"/>
      <c r="T27" s="315"/>
      <c r="U27" s="308"/>
      <c r="V27" s="165"/>
    </row>
    <row r="28" spans="6:23" ht="24.95" customHeight="1" thickBot="1" x14ac:dyDescent="0.3">
      <c r="F28" s="166"/>
      <c r="H28" s="309"/>
      <c r="I28" s="314"/>
      <c r="J28" s="164"/>
      <c r="T28" s="315"/>
      <c r="U28" s="309"/>
      <c r="V28" s="167"/>
    </row>
    <row r="29" spans="6:23" ht="24.95" customHeight="1" x14ac:dyDescent="0.25">
      <c r="F29" s="181" t="s">
        <v>4</v>
      </c>
      <c r="G29" s="314"/>
      <c r="V29" s="315"/>
      <c r="W29" s="181" t="s">
        <v>65</v>
      </c>
    </row>
    <row r="30" spans="6:23" ht="24.95" customHeight="1" thickBot="1" x14ac:dyDescent="0.3">
      <c r="F30" s="183" t="str">
        <f>'C4'!D6</f>
        <v>RESTAURANTE GRAN CHINA</v>
      </c>
      <c r="G30" s="314"/>
      <c r="V30" s="315"/>
      <c r="W30" s="182" t="str">
        <f>'C6'!D6</f>
        <v>MARQUESINAS MANIZALES</v>
      </c>
    </row>
  </sheetData>
  <sheetProtection algorithmName="SHA-512" hashValue="S0hx88gYcp/0wPSR8r8iPZtz4YaoaVBzl9zkWTC5kC0wATaZZEyAjO4HE02iawL0j53sroVoH9/hLY5yAgbc3Q==" saltValue="4ND3FTyZ7E3SjOxL+Z3D5w==" spinCount="100000" sheet="1" objects="1" scenarios="1"/>
  <protectedRanges>
    <protectedRange sqref="H4:H5 H12:H13 H19:H20 H27:H28 J8:J9 J23:J24 L15:L16 N15:O16 Q15:Q16 S8:S9 S23:S24 U4:U5 U12:U13 U19:U20 U27:U28" name="Rango1"/>
  </protectedRanges>
  <mergeCells count="44">
    <mergeCell ref="V21:V22"/>
    <mergeCell ref="V25:V26"/>
    <mergeCell ref="V29:V30"/>
    <mergeCell ref="V2:V3"/>
    <mergeCell ref="V6:V7"/>
    <mergeCell ref="V10:V11"/>
    <mergeCell ref="V14:V15"/>
    <mergeCell ref="V17:V18"/>
    <mergeCell ref="G21:G22"/>
    <mergeCell ref="G25:G26"/>
    <mergeCell ref="G29:G30"/>
    <mergeCell ref="I4:I5"/>
    <mergeCell ref="I12:I13"/>
    <mergeCell ref="I19:I20"/>
    <mergeCell ref="I27:I28"/>
    <mergeCell ref="H4:H5"/>
    <mergeCell ref="H27:H28"/>
    <mergeCell ref="G2:G3"/>
    <mergeCell ref="G6:G7"/>
    <mergeCell ref="G10:G11"/>
    <mergeCell ref="G14:G15"/>
    <mergeCell ref="G17:G18"/>
    <mergeCell ref="U4:U5"/>
    <mergeCell ref="M6:P12"/>
    <mergeCell ref="J8:J9"/>
    <mergeCell ref="S8:S9"/>
    <mergeCell ref="H12:H13"/>
    <mergeCell ref="U12:U13"/>
    <mergeCell ref="K8:K9"/>
    <mergeCell ref="R8:R9"/>
    <mergeCell ref="T4:T5"/>
    <mergeCell ref="T12:T13"/>
    <mergeCell ref="U27:U28"/>
    <mergeCell ref="L15:L16"/>
    <mergeCell ref="N15:O16"/>
    <mergeCell ref="Q15:Q16"/>
    <mergeCell ref="H19:H20"/>
    <mergeCell ref="U19:U20"/>
    <mergeCell ref="J23:J24"/>
    <mergeCell ref="S23:S24"/>
    <mergeCell ref="K23:K24"/>
    <mergeCell ref="R23:R24"/>
    <mergeCell ref="T19:T20"/>
    <mergeCell ref="T27:T28"/>
  </mergeCells>
  <pageMargins left="0.2" right="0.2" top="3" bottom="0.75" header="0.3" footer="0.3"/>
  <pageSetup scale="48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FDBB7-98D2-4FCA-A2C4-3BD5C7AFE956}">
  <sheetPr codeName="Hoja36"/>
  <dimension ref="A4:AI112"/>
  <sheetViews>
    <sheetView showGridLines="0" zoomScale="70" zoomScaleNormal="70" zoomScalePageLayoutView="90" workbookViewId="0"/>
  </sheetViews>
  <sheetFormatPr baseColWidth="10" defaultRowHeight="20.100000000000001" customHeight="1" x14ac:dyDescent="0.3"/>
  <cols>
    <col min="1" max="1" width="2.7109375" style="32" customWidth="1"/>
    <col min="2" max="2" width="4.7109375" style="32" customWidth="1"/>
    <col min="3" max="3" width="65.7109375" style="32" customWidth="1"/>
    <col min="4" max="9" width="7.7109375" style="32" customWidth="1"/>
    <col min="10" max="11" width="7.7109375" style="33" customWidth="1"/>
    <col min="12" max="12" width="7.7109375" style="32" customWidth="1"/>
    <col min="13" max="14" width="2.7109375" style="32" customWidth="1"/>
    <col min="15" max="15" width="4.7109375" style="32" customWidth="1"/>
    <col min="16" max="16" width="58.7109375" style="32" customWidth="1"/>
    <col min="17" max="17" width="8.7109375" style="32" customWidth="1"/>
    <col min="18" max="18" width="58.7109375" style="32" customWidth="1"/>
    <col min="19" max="19" width="8.7109375" style="32" customWidth="1"/>
    <col min="20" max="21" width="2.7109375" style="32" customWidth="1"/>
    <col min="22" max="22" width="4.7109375" style="32" customWidth="1"/>
    <col min="23" max="24" width="60.7109375" style="32" customWidth="1"/>
    <col min="25" max="25" width="10.7109375" style="32" customWidth="1"/>
    <col min="26" max="27" width="2.7109375" style="32" customWidth="1"/>
    <col min="28" max="28" width="5.7109375" style="32" customWidth="1"/>
    <col min="29" max="30" width="60.7109375" style="32" customWidth="1"/>
    <col min="31" max="31" width="13.7109375" style="32" customWidth="1"/>
    <col min="32" max="33" width="2.7109375" style="32" customWidth="1"/>
    <col min="34" max="16384" width="11.42578125" style="32"/>
  </cols>
  <sheetData>
    <row r="4" spans="1:35" ht="20.100000000000001" customHeight="1" x14ac:dyDescent="0.3">
      <c r="D4" s="34" t="s">
        <v>111</v>
      </c>
      <c r="E4" s="34"/>
      <c r="Q4" s="34" t="s">
        <v>111</v>
      </c>
      <c r="X4" s="34" t="s">
        <v>111</v>
      </c>
      <c r="AD4" s="34" t="s">
        <v>111</v>
      </c>
    </row>
    <row r="5" spans="1:35" ht="20.100000000000001" customHeight="1" x14ac:dyDescent="0.3">
      <c r="D5" s="34" t="s">
        <v>112</v>
      </c>
      <c r="Q5" s="34" t="s">
        <v>112</v>
      </c>
      <c r="X5" s="34" t="s">
        <v>112</v>
      </c>
      <c r="AD5" s="34" t="s">
        <v>112</v>
      </c>
    </row>
    <row r="6" spans="1:35" ht="20.100000000000001" customHeight="1" x14ac:dyDescent="0.3">
      <c r="D6" s="34" t="s">
        <v>113</v>
      </c>
      <c r="Q6" s="34" t="s">
        <v>113</v>
      </c>
      <c r="X6" s="34" t="s">
        <v>113</v>
      </c>
      <c r="AD6" s="34" t="s">
        <v>113</v>
      </c>
    </row>
    <row r="9" spans="1:35" ht="20.100000000000001" customHeight="1" x14ac:dyDescent="0.3">
      <c r="C9" s="334" t="s">
        <v>18</v>
      </c>
      <c r="D9" s="335"/>
      <c r="E9" s="335"/>
      <c r="F9" s="335"/>
      <c r="G9" s="335"/>
      <c r="H9" s="335"/>
      <c r="I9" s="335"/>
      <c r="J9" s="335"/>
      <c r="K9" s="335"/>
      <c r="L9" s="336"/>
      <c r="M9" s="35"/>
      <c r="P9" s="325" t="s">
        <v>114</v>
      </c>
      <c r="Q9" s="326"/>
      <c r="R9" s="326"/>
      <c r="S9" s="327"/>
      <c r="T9" s="36"/>
      <c r="U9" s="37"/>
      <c r="W9" s="325" t="s">
        <v>115</v>
      </c>
      <c r="X9" s="326"/>
      <c r="Y9" s="327"/>
      <c r="Z9" s="37"/>
      <c r="AA9" s="37"/>
      <c r="AC9" s="325" t="s">
        <v>116</v>
      </c>
      <c r="AD9" s="326"/>
      <c r="AE9" s="327"/>
    </row>
    <row r="10" spans="1:35" ht="20.100000000000001" customHeight="1" x14ac:dyDescent="0.3">
      <c r="C10" s="235" t="s">
        <v>16</v>
      </c>
      <c r="D10" s="235" t="s">
        <v>19</v>
      </c>
      <c r="E10" s="235" t="s">
        <v>20</v>
      </c>
      <c r="F10" s="235" t="s">
        <v>21</v>
      </c>
      <c r="G10" s="39" t="s">
        <v>22</v>
      </c>
      <c r="H10" s="237" t="s">
        <v>23</v>
      </c>
      <c r="I10" s="237" t="s">
        <v>24</v>
      </c>
      <c r="J10" s="236" t="s">
        <v>25</v>
      </c>
      <c r="K10" s="42" t="s">
        <v>38</v>
      </c>
      <c r="L10" s="43" t="s">
        <v>26</v>
      </c>
      <c r="M10" s="35"/>
      <c r="P10" s="328" t="s">
        <v>251</v>
      </c>
      <c r="Q10" s="329"/>
      <c r="R10" s="329"/>
      <c r="S10" s="330"/>
      <c r="T10" s="37"/>
      <c r="U10" s="37"/>
      <c r="W10" s="331" t="s">
        <v>251</v>
      </c>
      <c r="X10" s="332"/>
      <c r="Y10" s="333"/>
      <c r="Z10" s="37"/>
      <c r="AA10" s="37"/>
      <c r="AC10" s="331" t="s">
        <v>251</v>
      </c>
      <c r="AD10" s="332"/>
      <c r="AE10" s="333"/>
    </row>
    <row r="11" spans="1:35" ht="20.100000000000001" customHeight="1" x14ac:dyDescent="0.3">
      <c r="A11" s="44"/>
      <c r="B11" s="45">
        <v>1</v>
      </c>
      <c r="C11" s="46" t="s">
        <v>148</v>
      </c>
      <c r="D11" s="47">
        <v>2</v>
      </c>
      <c r="E11" s="47">
        <v>2</v>
      </c>
      <c r="F11" s="47">
        <v>0</v>
      </c>
      <c r="G11" s="48">
        <v>0</v>
      </c>
      <c r="H11" s="49">
        <v>9</v>
      </c>
      <c r="I11" s="49">
        <v>2</v>
      </c>
      <c r="J11" s="49">
        <v>7</v>
      </c>
      <c r="K11" s="50">
        <v>1</v>
      </c>
      <c r="L11" s="49">
        <v>6</v>
      </c>
      <c r="O11" s="51" t="s">
        <v>37</v>
      </c>
      <c r="P11" s="43" t="s">
        <v>16</v>
      </c>
      <c r="Q11" s="43" t="s">
        <v>117</v>
      </c>
      <c r="R11" s="43" t="s">
        <v>16</v>
      </c>
      <c r="S11" s="43" t="s">
        <v>117</v>
      </c>
      <c r="T11" s="36"/>
      <c r="U11" s="37"/>
      <c r="V11" s="51" t="s">
        <v>37</v>
      </c>
      <c r="W11" s="52" t="s">
        <v>78</v>
      </c>
      <c r="X11" s="238" t="s">
        <v>16</v>
      </c>
      <c r="Y11" s="54" t="s">
        <v>82</v>
      </c>
      <c r="Z11" s="36"/>
      <c r="AA11" s="37"/>
      <c r="AB11" s="51" t="s">
        <v>37</v>
      </c>
      <c r="AC11" s="239" t="s">
        <v>78</v>
      </c>
      <c r="AD11" s="238" t="s">
        <v>16</v>
      </c>
      <c r="AE11" s="56" t="s">
        <v>117</v>
      </c>
      <c r="AH11" s="57">
        <f>SUBTOTAL(9,Tabla3678910111213141511[GOLES])</f>
        <v>81</v>
      </c>
      <c r="AI11" s="58">
        <f>H27+H55+H83+H111</f>
        <v>81</v>
      </c>
    </row>
    <row r="12" spans="1:35" ht="20.100000000000001" customHeight="1" x14ac:dyDescent="0.3">
      <c r="B12" s="59">
        <v>2</v>
      </c>
      <c r="C12" s="46" t="s">
        <v>171</v>
      </c>
      <c r="D12" s="47">
        <v>2</v>
      </c>
      <c r="E12" s="47">
        <v>1</v>
      </c>
      <c r="F12" s="47">
        <v>1</v>
      </c>
      <c r="G12" s="48">
        <v>0</v>
      </c>
      <c r="H12" s="49">
        <v>9</v>
      </c>
      <c r="I12" s="49">
        <v>5</v>
      </c>
      <c r="J12" s="49">
        <v>4</v>
      </c>
      <c r="K12" s="49">
        <v>2.5</v>
      </c>
      <c r="L12" s="49">
        <v>4</v>
      </c>
      <c r="O12" s="60">
        <v>1</v>
      </c>
      <c r="P12" s="62" t="s">
        <v>173</v>
      </c>
      <c r="Q12" s="61">
        <v>5</v>
      </c>
      <c r="R12" s="62" t="s">
        <v>134</v>
      </c>
      <c r="S12" s="61">
        <v>5</v>
      </c>
      <c r="T12" s="37"/>
      <c r="U12" s="37"/>
      <c r="V12" s="60">
        <v>1</v>
      </c>
      <c r="W12" s="62" t="s">
        <v>182</v>
      </c>
      <c r="X12" s="63"/>
      <c r="Y12" s="61"/>
      <c r="Z12" s="37"/>
      <c r="AA12" s="37"/>
      <c r="AB12" s="60">
        <v>1</v>
      </c>
      <c r="AC12" s="64" t="s">
        <v>191</v>
      </c>
      <c r="AD12" s="63" t="s">
        <v>136</v>
      </c>
      <c r="AE12" s="65">
        <v>4</v>
      </c>
    </row>
    <row r="13" spans="1:35" ht="20.100000000000001" customHeight="1" x14ac:dyDescent="0.3">
      <c r="B13" s="59">
        <v>3</v>
      </c>
      <c r="C13" s="46" t="s">
        <v>138</v>
      </c>
      <c r="D13" s="47">
        <v>2</v>
      </c>
      <c r="E13" s="47">
        <v>0</v>
      </c>
      <c r="F13" s="47">
        <v>2</v>
      </c>
      <c r="G13" s="48">
        <v>0</v>
      </c>
      <c r="H13" s="61">
        <v>4</v>
      </c>
      <c r="I13" s="49">
        <v>4</v>
      </c>
      <c r="J13" s="49">
        <v>0</v>
      </c>
      <c r="K13" s="49">
        <v>2</v>
      </c>
      <c r="L13" s="49">
        <v>2</v>
      </c>
      <c r="O13" s="60">
        <v>2</v>
      </c>
      <c r="P13" s="62" t="s">
        <v>171</v>
      </c>
      <c r="Q13" s="61">
        <v>5</v>
      </c>
      <c r="R13" s="62" t="s">
        <v>176</v>
      </c>
      <c r="S13" s="61">
        <v>1</v>
      </c>
      <c r="T13" s="37"/>
      <c r="U13" s="37"/>
      <c r="Z13" s="37"/>
      <c r="AA13" s="37"/>
      <c r="AB13" s="60">
        <v>2</v>
      </c>
      <c r="AC13" s="229" t="s">
        <v>197</v>
      </c>
      <c r="AD13" s="66" t="s">
        <v>171</v>
      </c>
      <c r="AE13" s="47">
        <v>3</v>
      </c>
    </row>
    <row r="14" spans="1:35" ht="20.100000000000001" customHeight="1" x14ac:dyDescent="0.3">
      <c r="B14" s="45">
        <v>4</v>
      </c>
      <c r="C14" s="46" t="s">
        <v>215</v>
      </c>
      <c r="D14" s="47">
        <v>1</v>
      </c>
      <c r="E14" s="47">
        <v>0</v>
      </c>
      <c r="F14" s="47">
        <v>1</v>
      </c>
      <c r="G14" s="48">
        <v>0</v>
      </c>
      <c r="H14" s="49">
        <v>0</v>
      </c>
      <c r="I14" s="49">
        <v>0</v>
      </c>
      <c r="J14" s="49">
        <v>0</v>
      </c>
      <c r="K14" s="49" t="s">
        <v>180</v>
      </c>
      <c r="L14" s="49">
        <v>1</v>
      </c>
      <c r="O14" s="60">
        <v>3</v>
      </c>
      <c r="P14" s="62" t="s">
        <v>252</v>
      </c>
      <c r="Q14" s="61">
        <v>4</v>
      </c>
      <c r="R14" s="62" t="s">
        <v>162</v>
      </c>
      <c r="S14" s="61">
        <v>3</v>
      </c>
      <c r="T14" s="37"/>
      <c r="U14" s="37"/>
      <c r="Z14" s="37"/>
      <c r="AA14" s="37"/>
      <c r="AB14" s="60">
        <v>3</v>
      </c>
      <c r="AC14" s="229" t="s">
        <v>289</v>
      </c>
      <c r="AD14" s="66" t="s">
        <v>252</v>
      </c>
      <c r="AE14" s="47">
        <v>3</v>
      </c>
    </row>
    <row r="15" spans="1:35" ht="20.100000000000001" customHeight="1" x14ac:dyDescent="0.3">
      <c r="B15" s="45">
        <v>5</v>
      </c>
      <c r="C15" s="66" t="s">
        <v>222</v>
      </c>
      <c r="D15" s="47">
        <v>0</v>
      </c>
      <c r="E15" s="47">
        <v>0</v>
      </c>
      <c r="F15" s="47">
        <v>0</v>
      </c>
      <c r="G15" s="48">
        <v>0</v>
      </c>
      <c r="H15" s="49">
        <v>0</v>
      </c>
      <c r="I15" s="49">
        <v>0</v>
      </c>
      <c r="J15" s="49">
        <v>0</v>
      </c>
      <c r="K15" s="49" t="s">
        <v>180</v>
      </c>
      <c r="L15" s="49">
        <v>0</v>
      </c>
      <c r="O15" s="60">
        <v>4</v>
      </c>
      <c r="P15" s="62" t="s">
        <v>136</v>
      </c>
      <c r="Q15" s="61">
        <v>4</v>
      </c>
      <c r="R15" s="62" t="s">
        <v>102</v>
      </c>
      <c r="S15" s="61">
        <v>2</v>
      </c>
      <c r="T15" s="37"/>
      <c r="U15" s="37"/>
      <c r="Z15" s="37"/>
      <c r="AA15" s="37"/>
      <c r="AB15" s="60">
        <v>4</v>
      </c>
      <c r="AC15" s="229" t="s">
        <v>185</v>
      </c>
      <c r="AD15" s="66" t="s">
        <v>148</v>
      </c>
      <c r="AE15" s="47">
        <v>2</v>
      </c>
    </row>
    <row r="16" spans="1:35" ht="20.100000000000001" customHeight="1" x14ac:dyDescent="0.3">
      <c r="B16" s="67">
        <v>6</v>
      </c>
      <c r="C16" s="68" t="s">
        <v>243</v>
      </c>
      <c r="D16" s="65">
        <v>0</v>
      </c>
      <c r="E16" s="65">
        <v>0</v>
      </c>
      <c r="F16" s="65">
        <v>0</v>
      </c>
      <c r="G16" s="61">
        <v>0</v>
      </c>
      <c r="H16" s="69">
        <v>0</v>
      </c>
      <c r="I16" s="69">
        <v>0</v>
      </c>
      <c r="J16" s="69">
        <v>0</v>
      </c>
      <c r="K16" s="69" t="s">
        <v>180</v>
      </c>
      <c r="L16" s="69">
        <v>0</v>
      </c>
      <c r="O16" s="60">
        <v>5</v>
      </c>
      <c r="P16" s="62" t="s">
        <v>204</v>
      </c>
      <c r="Q16" s="61">
        <v>4</v>
      </c>
      <c r="R16" s="62" t="s">
        <v>168</v>
      </c>
      <c r="S16" s="61">
        <v>1</v>
      </c>
      <c r="T16" s="37"/>
      <c r="U16" s="37"/>
      <c r="Z16" s="37"/>
      <c r="AA16" s="37"/>
      <c r="AB16" s="60">
        <v>5</v>
      </c>
      <c r="AC16" s="229" t="s">
        <v>186</v>
      </c>
      <c r="AD16" s="66" t="s">
        <v>148</v>
      </c>
      <c r="AE16" s="47">
        <v>2</v>
      </c>
    </row>
    <row r="17" spans="2:31" ht="20.100000000000001" customHeight="1" x14ac:dyDescent="0.3">
      <c r="B17" s="70">
        <v>7</v>
      </c>
      <c r="C17" s="71" t="s">
        <v>239</v>
      </c>
      <c r="D17" s="72">
        <v>1</v>
      </c>
      <c r="E17" s="72">
        <v>0</v>
      </c>
      <c r="F17" s="72">
        <v>0</v>
      </c>
      <c r="G17" s="73">
        <v>1</v>
      </c>
      <c r="H17" s="74">
        <v>2</v>
      </c>
      <c r="I17" s="74">
        <v>3</v>
      </c>
      <c r="J17" s="74">
        <v>-1</v>
      </c>
      <c r="K17" s="74">
        <v>3</v>
      </c>
      <c r="L17" s="74">
        <v>0</v>
      </c>
      <c r="O17" s="60">
        <v>6</v>
      </c>
      <c r="P17" s="62" t="s">
        <v>165</v>
      </c>
      <c r="Q17" s="61">
        <v>3</v>
      </c>
      <c r="R17" s="62" t="s">
        <v>142</v>
      </c>
      <c r="S17" s="61">
        <v>2</v>
      </c>
      <c r="T17" s="37"/>
      <c r="U17" s="37"/>
      <c r="Z17" s="37"/>
      <c r="AA17" s="37"/>
      <c r="AB17" s="60">
        <v>6</v>
      </c>
      <c r="AC17" s="229" t="s">
        <v>187</v>
      </c>
      <c r="AD17" s="66" t="s">
        <v>134</v>
      </c>
      <c r="AE17" s="47">
        <v>2</v>
      </c>
    </row>
    <row r="18" spans="2:31" ht="20.100000000000001" customHeight="1" x14ac:dyDescent="0.3">
      <c r="B18" s="70">
        <v>8</v>
      </c>
      <c r="C18" s="71" t="s">
        <v>176</v>
      </c>
      <c r="D18" s="72">
        <v>2</v>
      </c>
      <c r="E18" s="72">
        <v>0</v>
      </c>
      <c r="F18" s="72">
        <v>0</v>
      </c>
      <c r="G18" s="73">
        <v>2</v>
      </c>
      <c r="H18" s="74">
        <v>1</v>
      </c>
      <c r="I18" s="74">
        <v>11</v>
      </c>
      <c r="J18" s="74">
        <v>-10</v>
      </c>
      <c r="K18" s="74">
        <v>5.5</v>
      </c>
      <c r="L18" s="74">
        <v>0</v>
      </c>
      <c r="O18" s="60">
        <v>7</v>
      </c>
      <c r="P18" s="62" t="s">
        <v>148</v>
      </c>
      <c r="Q18" s="61">
        <v>3</v>
      </c>
      <c r="R18" s="62" t="s">
        <v>239</v>
      </c>
      <c r="S18" s="61">
        <v>2</v>
      </c>
      <c r="T18" s="37"/>
      <c r="U18" s="37"/>
      <c r="Z18" s="37"/>
      <c r="AA18" s="37"/>
      <c r="AB18" s="60">
        <v>7</v>
      </c>
      <c r="AC18" s="229" t="s">
        <v>184</v>
      </c>
      <c r="AD18" s="66" t="s">
        <v>148</v>
      </c>
      <c r="AE18" s="47">
        <v>2</v>
      </c>
    </row>
    <row r="19" spans="2:31" ht="20.100000000000001" customHeight="1" x14ac:dyDescent="0.3">
      <c r="B19" s="75">
        <v>9</v>
      </c>
      <c r="C19" s="71"/>
      <c r="D19" s="72"/>
      <c r="E19" s="72"/>
      <c r="F19" s="72"/>
      <c r="G19" s="73"/>
      <c r="H19" s="74"/>
      <c r="I19" s="74"/>
      <c r="J19" s="74"/>
      <c r="K19" s="74"/>
      <c r="L19" s="74"/>
      <c r="O19" s="60">
        <v>8</v>
      </c>
      <c r="P19" s="62" t="s">
        <v>156</v>
      </c>
      <c r="Q19" s="61">
        <v>3</v>
      </c>
      <c r="R19" s="62" t="s">
        <v>213</v>
      </c>
      <c r="S19" s="61">
        <v>1</v>
      </c>
      <c r="T19" s="37"/>
      <c r="U19" s="37"/>
      <c r="AB19" s="60">
        <v>8</v>
      </c>
      <c r="AC19" s="229" t="s">
        <v>272</v>
      </c>
      <c r="AD19" s="66" t="s">
        <v>136</v>
      </c>
      <c r="AE19" s="47">
        <v>2</v>
      </c>
    </row>
    <row r="20" spans="2:31" ht="20.100000000000001" customHeight="1" x14ac:dyDescent="0.3">
      <c r="B20" s="61">
        <v>10</v>
      </c>
      <c r="C20" s="76"/>
      <c r="D20" s="72"/>
      <c r="E20" s="72"/>
      <c r="F20" s="72"/>
      <c r="G20" s="73"/>
      <c r="H20" s="74"/>
      <c r="I20" s="74"/>
      <c r="J20" s="74"/>
      <c r="K20" s="74"/>
      <c r="L20" s="74"/>
      <c r="O20" s="60">
        <v>9</v>
      </c>
      <c r="P20" s="62" t="s">
        <v>145</v>
      </c>
      <c r="Q20" s="61">
        <v>3</v>
      </c>
      <c r="R20" s="62" t="s">
        <v>153</v>
      </c>
      <c r="S20" s="61">
        <v>1</v>
      </c>
      <c r="T20" s="37"/>
      <c r="U20" s="37"/>
      <c r="AB20" s="60">
        <v>9</v>
      </c>
      <c r="AC20" s="229" t="s">
        <v>198</v>
      </c>
      <c r="AD20" s="66" t="s">
        <v>171</v>
      </c>
      <c r="AE20" s="47">
        <v>2</v>
      </c>
    </row>
    <row r="21" spans="2:31" ht="20.100000000000001" customHeight="1" x14ac:dyDescent="0.3">
      <c r="B21" s="73">
        <v>11</v>
      </c>
      <c r="C21" s="76"/>
      <c r="D21" s="72"/>
      <c r="E21" s="72"/>
      <c r="F21" s="72"/>
      <c r="G21" s="73"/>
      <c r="H21" s="74"/>
      <c r="I21" s="74"/>
      <c r="J21" s="74"/>
      <c r="K21" s="74"/>
      <c r="L21" s="74"/>
      <c r="O21" s="60">
        <v>10</v>
      </c>
      <c r="P21" s="62" t="s">
        <v>206</v>
      </c>
      <c r="Q21" s="61">
        <v>2</v>
      </c>
      <c r="R21" s="62" t="s">
        <v>217</v>
      </c>
      <c r="S21" s="61">
        <v>2</v>
      </c>
      <c r="T21" s="37"/>
      <c r="U21" s="37"/>
      <c r="AB21" s="60">
        <v>10</v>
      </c>
      <c r="AC21" s="229" t="s">
        <v>293</v>
      </c>
      <c r="AD21" s="66" t="s">
        <v>165</v>
      </c>
      <c r="AE21" s="47">
        <v>2</v>
      </c>
    </row>
    <row r="22" spans="2:31" ht="20.100000000000001" customHeight="1" x14ac:dyDescent="0.3">
      <c r="B22" s="73">
        <v>12</v>
      </c>
      <c r="C22" s="76"/>
      <c r="D22" s="72"/>
      <c r="E22" s="72"/>
      <c r="F22" s="72"/>
      <c r="G22" s="73"/>
      <c r="H22" s="74"/>
      <c r="I22" s="74"/>
      <c r="J22" s="74"/>
      <c r="K22" s="74"/>
      <c r="L22" s="74"/>
      <c r="O22" s="60">
        <v>11</v>
      </c>
      <c r="P22" s="62" t="s">
        <v>215</v>
      </c>
      <c r="Q22" s="61">
        <v>0</v>
      </c>
      <c r="R22" s="62" t="s">
        <v>138</v>
      </c>
      <c r="S22" s="61">
        <v>0</v>
      </c>
      <c r="T22" s="37"/>
      <c r="U22" s="37"/>
      <c r="AB22" s="60">
        <v>11</v>
      </c>
      <c r="AC22" s="229" t="s">
        <v>262</v>
      </c>
      <c r="AD22" s="66" t="s">
        <v>173</v>
      </c>
      <c r="AE22" s="47">
        <v>2</v>
      </c>
    </row>
    <row r="23" spans="2:31" ht="20.100000000000001" customHeight="1" x14ac:dyDescent="0.3">
      <c r="B23" s="73">
        <v>13</v>
      </c>
      <c r="C23" s="76"/>
      <c r="D23" s="72"/>
      <c r="E23" s="72"/>
      <c r="F23" s="72"/>
      <c r="G23" s="73"/>
      <c r="H23" s="74"/>
      <c r="I23" s="74"/>
      <c r="J23" s="74"/>
      <c r="K23" s="74"/>
      <c r="L23" s="74"/>
      <c r="T23" s="37"/>
      <c r="U23" s="37"/>
      <c r="AB23" s="60">
        <v>12</v>
      </c>
      <c r="AC23" s="229" t="s">
        <v>265</v>
      </c>
      <c r="AD23" s="66" t="s">
        <v>134</v>
      </c>
      <c r="AE23" s="47">
        <v>2</v>
      </c>
    </row>
    <row r="24" spans="2:31" ht="20.100000000000001" customHeight="1" x14ac:dyDescent="0.3">
      <c r="B24" s="73">
        <v>14</v>
      </c>
      <c r="C24" s="76"/>
      <c r="D24" s="72"/>
      <c r="E24" s="72"/>
      <c r="F24" s="72"/>
      <c r="G24" s="73"/>
      <c r="H24" s="74"/>
      <c r="I24" s="74"/>
      <c r="J24" s="74"/>
      <c r="K24" s="74"/>
      <c r="L24" s="74"/>
      <c r="T24" s="37"/>
      <c r="U24" s="37"/>
      <c r="AB24" s="60">
        <v>13</v>
      </c>
      <c r="AC24" s="229" t="s">
        <v>268</v>
      </c>
      <c r="AD24" s="66" t="s">
        <v>171</v>
      </c>
      <c r="AE24" s="47">
        <v>2</v>
      </c>
    </row>
    <row r="25" spans="2:31" ht="20.100000000000001" customHeight="1" x14ac:dyDescent="0.3">
      <c r="B25" s="73">
        <v>15</v>
      </c>
      <c r="C25" s="76"/>
      <c r="D25" s="72"/>
      <c r="E25" s="72"/>
      <c r="F25" s="72"/>
      <c r="G25" s="73"/>
      <c r="H25" s="74"/>
      <c r="I25" s="74"/>
      <c r="J25" s="74"/>
      <c r="K25" s="74"/>
      <c r="L25" s="74"/>
      <c r="AB25" s="60">
        <v>14</v>
      </c>
      <c r="AC25" s="229" t="s">
        <v>273</v>
      </c>
      <c r="AD25" s="66" t="s">
        <v>102</v>
      </c>
      <c r="AE25" s="47">
        <v>2</v>
      </c>
    </row>
    <row r="26" spans="2:31" ht="20.100000000000001" customHeight="1" x14ac:dyDescent="0.3">
      <c r="B26" s="73">
        <v>16</v>
      </c>
      <c r="C26" s="76"/>
      <c r="D26" s="72"/>
      <c r="E26" s="72"/>
      <c r="F26" s="72"/>
      <c r="G26" s="73"/>
      <c r="H26" s="74"/>
      <c r="I26" s="74"/>
      <c r="J26" s="74"/>
      <c r="K26" s="74"/>
      <c r="L26" s="74"/>
      <c r="AB26" s="60">
        <v>15</v>
      </c>
      <c r="AC26" s="229" t="s">
        <v>282</v>
      </c>
      <c r="AD26" s="66" t="s">
        <v>145</v>
      </c>
      <c r="AE26" s="47">
        <v>2</v>
      </c>
    </row>
    <row r="27" spans="2:31" ht="20.100000000000001" customHeight="1" x14ac:dyDescent="0.3">
      <c r="D27" s="32">
        <f>SUM(D11:D26)/2</f>
        <v>5</v>
      </c>
      <c r="E27" s="32">
        <f>SUM(E11:E26)</f>
        <v>3</v>
      </c>
      <c r="F27" s="32">
        <f>SUM(F11:F26)/2</f>
        <v>2</v>
      </c>
      <c r="G27" s="32">
        <f>SUM(G11:G26)</f>
        <v>3</v>
      </c>
      <c r="H27" s="32">
        <f>SUM(H11:H26)</f>
        <v>25</v>
      </c>
      <c r="I27" s="32">
        <f>SUM(I11:I26)</f>
        <v>25</v>
      </c>
      <c r="AB27" s="60">
        <v>16</v>
      </c>
      <c r="AC27" s="229" t="s">
        <v>286</v>
      </c>
      <c r="AD27" s="66" t="s">
        <v>204</v>
      </c>
      <c r="AE27" s="47">
        <v>2</v>
      </c>
    </row>
    <row r="28" spans="2:31" ht="20.100000000000001" customHeight="1" x14ac:dyDescent="0.3">
      <c r="B28" s="77"/>
      <c r="C28" s="32" t="s">
        <v>118</v>
      </c>
      <c r="AB28" s="60">
        <v>17</v>
      </c>
      <c r="AC28" s="62" t="s">
        <v>287</v>
      </c>
      <c r="AD28" s="68" t="s">
        <v>204</v>
      </c>
      <c r="AE28" s="61">
        <v>2</v>
      </c>
    </row>
    <row r="29" spans="2:31" ht="20.100000000000001" customHeight="1" x14ac:dyDescent="0.3">
      <c r="AB29" s="60">
        <v>18</v>
      </c>
      <c r="AC29" s="229" t="s">
        <v>183</v>
      </c>
      <c r="AD29" s="66" t="s">
        <v>148</v>
      </c>
      <c r="AE29" s="47">
        <v>1</v>
      </c>
    </row>
    <row r="30" spans="2:31" ht="20.100000000000001" customHeight="1" x14ac:dyDescent="0.3">
      <c r="AB30" s="60">
        <v>19</v>
      </c>
      <c r="AC30" s="229" t="s">
        <v>188</v>
      </c>
      <c r="AD30" s="66" t="s">
        <v>162</v>
      </c>
      <c r="AE30" s="47">
        <v>1</v>
      </c>
    </row>
    <row r="31" spans="2:31" ht="20.100000000000001" customHeight="1" x14ac:dyDescent="0.3">
      <c r="AB31" s="60">
        <v>20</v>
      </c>
      <c r="AC31" s="229" t="s">
        <v>189</v>
      </c>
      <c r="AD31" s="66" t="s">
        <v>162</v>
      </c>
      <c r="AE31" s="47">
        <v>1</v>
      </c>
    </row>
    <row r="32" spans="2:31" ht="20.100000000000001" customHeight="1" x14ac:dyDescent="0.3">
      <c r="D32" s="34" t="s">
        <v>111</v>
      </c>
      <c r="E32" s="34"/>
      <c r="AB32" s="60">
        <v>21</v>
      </c>
      <c r="AC32" s="229" t="s">
        <v>190</v>
      </c>
      <c r="AD32" s="66" t="s">
        <v>102</v>
      </c>
      <c r="AE32" s="47">
        <v>1</v>
      </c>
    </row>
    <row r="33" spans="1:31" ht="20.100000000000001" customHeight="1" x14ac:dyDescent="0.3">
      <c r="D33" s="34" t="s">
        <v>112</v>
      </c>
      <c r="AB33" s="60">
        <v>22</v>
      </c>
      <c r="AC33" s="229" t="s">
        <v>192</v>
      </c>
      <c r="AD33" s="66" t="s">
        <v>136</v>
      </c>
      <c r="AE33" s="47">
        <v>1</v>
      </c>
    </row>
    <row r="34" spans="1:31" ht="20.100000000000001" customHeight="1" x14ac:dyDescent="0.3">
      <c r="D34" s="34" t="s">
        <v>113</v>
      </c>
      <c r="AB34" s="60">
        <v>23</v>
      </c>
      <c r="AC34" s="229" t="s">
        <v>193</v>
      </c>
      <c r="AD34" s="66" t="s">
        <v>136</v>
      </c>
      <c r="AE34" s="47">
        <v>1</v>
      </c>
    </row>
    <row r="35" spans="1:31" ht="20.100000000000001" customHeight="1" x14ac:dyDescent="0.3">
      <c r="AB35" s="60">
        <v>24</v>
      </c>
      <c r="AC35" s="229" t="s">
        <v>195</v>
      </c>
      <c r="AD35" s="66" t="s">
        <v>171</v>
      </c>
      <c r="AE35" s="47">
        <v>1</v>
      </c>
    </row>
    <row r="36" spans="1:31" ht="20.100000000000001" customHeight="1" x14ac:dyDescent="0.3">
      <c r="AB36" s="60">
        <v>25</v>
      </c>
      <c r="AC36" s="229" t="s">
        <v>196</v>
      </c>
      <c r="AD36" s="66" t="s">
        <v>171</v>
      </c>
      <c r="AE36" s="47">
        <v>1</v>
      </c>
    </row>
    <row r="37" spans="1:31" ht="20.100000000000001" customHeight="1" x14ac:dyDescent="0.3">
      <c r="C37" s="334" t="s">
        <v>27</v>
      </c>
      <c r="D37" s="335"/>
      <c r="E37" s="335"/>
      <c r="F37" s="335"/>
      <c r="G37" s="335"/>
      <c r="H37" s="335"/>
      <c r="I37" s="335"/>
      <c r="J37" s="335"/>
      <c r="K37" s="335"/>
      <c r="L37" s="336"/>
      <c r="AB37" s="60">
        <v>26</v>
      </c>
      <c r="AC37" s="229" t="s">
        <v>199</v>
      </c>
      <c r="AD37" s="66" t="s">
        <v>138</v>
      </c>
      <c r="AE37" s="47">
        <v>1</v>
      </c>
    </row>
    <row r="38" spans="1:31" ht="20.100000000000001" customHeight="1" x14ac:dyDescent="0.3">
      <c r="C38" s="235" t="s">
        <v>16</v>
      </c>
      <c r="D38" s="235" t="s">
        <v>19</v>
      </c>
      <c r="E38" s="235" t="s">
        <v>20</v>
      </c>
      <c r="F38" s="235" t="s">
        <v>21</v>
      </c>
      <c r="G38" s="39" t="s">
        <v>22</v>
      </c>
      <c r="H38" s="237" t="s">
        <v>23</v>
      </c>
      <c r="I38" s="237" t="s">
        <v>24</v>
      </c>
      <c r="J38" s="236" t="s">
        <v>25</v>
      </c>
      <c r="K38" s="42" t="s">
        <v>38</v>
      </c>
      <c r="L38" s="43" t="s">
        <v>26</v>
      </c>
      <c r="AB38" s="60">
        <v>27</v>
      </c>
      <c r="AC38" s="229" t="s">
        <v>200</v>
      </c>
      <c r="AD38" s="66" t="s">
        <v>138</v>
      </c>
      <c r="AE38" s="47">
        <v>1</v>
      </c>
    </row>
    <row r="39" spans="1:31" ht="20.100000000000001" customHeight="1" x14ac:dyDescent="0.3">
      <c r="B39" s="45">
        <v>1</v>
      </c>
      <c r="C39" s="46" t="s">
        <v>136</v>
      </c>
      <c r="D39" s="47">
        <v>2</v>
      </c>
      <c r="E39" s="47">
        <v>2</v>
      </c>
      <c r="F39" s="47">
        <v>0</v>
      </c>
      <c r="G39" s="48">
        <v>0</v>
      </c>
      <c r="H39" s="49">
        <v>10</v>
      </c>
      <c r="I39" s="49">
        <v>2</v>
      </c>
      <c r="J39" s="49">
        <v>8</v>
      </c>
      <c r="K39" s="50">
        <v>1</v>
      </c>
      <c r="L39" s="49">
        <v>6</v>
      </c>
      <c r="AB39" s="60">
        <v>28</v>
      </c>
      <c r="AC39" s="229" t="s">
        <v>201</v>
      </c>
      <c r="AD39" s="66" t="s">
        <v>138</v>
      </c>
      <c r="AE39" s="47">
        <v>1</v>
      </c>
    </row>
    <row r="40" spans="1:31" ht="20.100000000000001" customHeight="1" x14ac:dyDescent="0.3">
      <c r="B40" s="59">
        <v>2</v>
      </c>
      <c r="C40" s="46" t="s">
        <v>237</v>
      </c>
      <c r="D40" s="47">
        <v>1</v>
      </c>
      <c r="E40" s="47">
        <v>1</v>
      </c>
      <c r="F40" s="47">
        <v>0</v>
      </c>
      <c r="G40" s="48">
        <v>0</v>
      </c>
      <c r="H40" s="49">
        <v>4</v>
      </c>
      <c r="I40" s="49">
        <v>3</v>
      </c>
      <c r="J40" s="49">
        <v>1</v>
      </c>
      <c r="K40" s="49">
        <v>3</v>
      </c>
      <c r="L40" s="49">
        <v>3</v>
      </c>
      <c r="M40" s="35"/>
      <c r="AB40" s="60">
        <v>29</v>
      </c>
      <c r="AC40" s="229" t="s">
        <v>202</v>
      </c>
      <c r="AD40" s="66" t="s">
        <v>138</v>
      </c>
      <c r="AE40" s="47">
        <v>1</v>
      </c>
    </row>
    <row r="41" spans="1:31" ht="20.100000000000001" customHeight="1" x14ac:dyDescent="0.3">
      <c r="B41" s="59">
        <v>3</v>
      </c>
      <c r="C41" s="46" t="s">
        <v>162</v>
      </c>
      <c r="D41" s="47">
        <v>2</v>
      </c>
      <c r="E41" s="47">
        <v>1</v>
      </c>
      <c r="F41" s="47">
        <v>0</v>
      </c>
      <c r="G41" s="48">
        <v>1</v>
      </c>
      <c r="H41" s="61">
        <v>5</v>
      </c>
      <c r="I41" s="49">
        <v>5</v>
      </c>
      <c r="J41" s="49">
        <v>0</v>
      </c>
      <c r="K41" s="49">
        <v>2.5</v>
      </c>
      <c r="L41" s="49">
        <v>3</v>
      </c>
      <c r="M41" s="35"/>
      <c r="AB41" s="60">
        <v>30</v>
      </c>
      <c r="AC41" s="229" t="s">
        <v>253</v>
      </c>
      <c r="AD41" s="66" t="s">
        <v>165</v>
      </c>
      <c r="AE41" s="47">
        <v>1</v>
      </c>
    </row>
    <row r="42" spans="1:31" ht="20.100000000000001" customHeight="1" x14ac:dyDescent="0.3">
      <c r="A42" s="44"/>
      <c r="B42" s="45">
        <v>4</v>
      </c>
      <c r="C42" s="46" t="s">
        <v>156</v>
      </c>
      <c r="D42" s="47">
        <v>2</v>
      </c>
      <c r="E42" s="47">
        <v>1</v>
      </c>
      <c r="F42" s="47">
        <v>0</v>
      </c>
      <c r="G42" s="48">
        <v>1</v>
      </c>
      <c r="H42" s="49">
        <v>3</v>
      </c>
      <c r="I42" s="49">
        <v>7</v>
      </c>
      <c r="J42" s="49">
        <v>-4</v>
      </c>
      <c r="K42" s="49">
        <v>3.5</v>
      </c>
      <c r="L42" s="49">
        <v>3</v>
      </c>
      <c r="AB42" s="60">
        <v>31</v>
      </c>
      <c r="AC42" s="229" t="s">
        <v>254</v>
      </c>
      <c r="AD42" s="66" t="s">
        <v>142</v>
      </c>
      <c r="AE42" s="47">
        <v>1</v>
      </c>
    </row>
    <row r="43" spans="1:31" ht="20.100000000000001" customHeight="1" x14ac:dyDescent="0.3">
      <c r="B43" s="45">
        <v>5</v>
      </c>
      <c r="C43" s="66" t="s">
        <v>219</v>
      </c>
      <c r="D43" s="47">
        <v>0</v>
      </c>
      <c r="E43" s="47">
        <v>0</v>
      </c>
      <c r="F43" s="47">
        <v>0</v>
      </c>
      <c r="G43" s="48">
        <v>0</v>
      </c>
      <c r="H43" s="49">
        <v>0</v>
      </c>
      <c r="I43" s="49">
        <v>0</v>
      </c>
      <c r="J43" s="49">
        <v>0</v>
      </c>
      <c r="K43" s="49" t="s">
        <v>180</v>
      </c>
      <c r="L43" s="49">
        <v>0</v>
      </c>
      <c r="AB43" s="60">
        <v>32</v>
      </c>
      <c r="AC43" s="229" t="s">
        <v>255</v>
      </c>
      <c r="AD43" s="66" t="s">
        <v>142</v>
      </c>
      <c r="AE43" s="47">
        <v>1</v>
      </c>
    </row>
    <row r="44" spans="1:31" ht="20.100000000000001" customHeight="1" x14ac:dyDescent="0.3">
      <c r="B44" s="67">
        <v>6</v>
      </c>
      <c r="C44" s="68" t="s">
        <v>234</v>
      </c>
      <c r="D44" s="65">
        <v>0</v>
      </c>
      <c r="E44" s="65">
        <v>0</v>
      </c>
      <c r="F44" s="65">
        <v>0</v>
      </c>
      <c r="G44" s="61">
        <v>0</v>
      </c>
      <c r="H44" s="69">
        <v>0</v>
      </c>
      <c r="I44" s="69">
        <v>0</v>
      </c>
      <c r="J44" s="69">
        <v>0</v>
      </c>
      <c r="K44" s="69" t="s">
        <v>180</v>
      </c>
      <c r="L44" s="69">
        <v>0</v>
      </c>
      <c r="AB44" s="60">
        <v>33</v>
      </c>
      <c r="AC44" s="229" t="s">
        <v>256</v>
      </c>
      <c r="AD44" s="66" t="s">
        <v>206</v>
      </c>
      <c r="AE44" s="47">
        <v>1</v>
      </c>
    </row>
    <row r="45" spans="1:31" ht="20.100000000000001" customHeight="1" x14ac:dyDescent="0.3">
      <c r="B45" s="70">
        <v>7</v>
      </c>
      <c r="C45" s="71" t="s">
        <v>213</v>
      </c>
      <c r="D45" s="72">
        <v>1</v>
      </c>
      <c r="E45" s="72">
        <v>0</v>
      </c>
      <c r="F45" s="72">
        <v>0</v>
      </c>
      <c r="G45" s="73">
        <v>1</v>
      </c>
      <c r="H45" s="74">
        <v>1</v>
      </c>
      <c r="I45" s="74">
        <v>3</v>
      </c>
      <c r="J45" s="74">
        <v>-2</v>
      </c>
      <c r="K45" s="74">
        <v>3</v>
      </c>
      <c r="L45" s="74">
        <v>0</v>
      </c>
      <c r="AB45" s="60">
        <v>34</v>
      </c>
      <c r="AC45" s="229" t="s">
        <v>257</v>
      </c>
      <c r="AD45" s="66" t="s">
        <v>206</v>
      </c>
      <c r="AE45" s="47">
        <v>1</v>
      </c>
    </row>
    <row r="46" spans="1:31" ht="20.100000000000001" customHeight="1" x14ac:dyDescent="0.3">
      <c r="B46" s="70">
        <v>8</v>
      </c>
      <c r="C46" s="71" t="s">
        <v>102</v>
      </c>
      <c r="D46" s="72">
        <v>2</v>
      </c>
      <c r="E46" s="72">
        <v>0</v>
      </c>
      <c r="F46" s="72">
        <v>0</v>
      </c>
      <c r="G46" s="73">
        <v>2</v>
      </c>
      <c r="H46" s="74">
        <v>3</v>
      </c>
      <c r="I46" s="74">
        <v>6</v>
      </c>
      <c r="J46" s="74">
        <v>-3</v>
      </c>
      <c r="K46" s="74">
        <v>3</v>
      </c>
      <c r="L46" s="74">
        <v>0</v>
      </c>
      <c r="AB46" s="60">
        <v>35</v>
      </c>
      <c r="AC46" s="229" t="s">
        <v>258</v>
      </c>
      <c r="AD46" s="66" t="s">
        <v>217</v>
      </c>
      <c r="AE46" s="47">
        <v>1</v>
      </c>
    </row>
    <row r="47" spans="1:31" ht="20.100000000000001" customHeight="1" x14ac:dyDescent="0.3">
      <c r="B47" s="75">
        <v>9</v>
      </c>
      <c r="C47" s="71"/>
      <c r="D47" s="72"/>
      <c r="E47" s="72"/>
      <c r="F47" s="72"/>
      <c r="G47" s="73"/>
      <c r="H47" s="74"/>
      <c r="I47" s="74"/>
      <c r="J47" s="74"/>
      <c r="K47" s="74"/>
      <c r="L47" s="74"/>
      <c r="AB47" s="60">
        <v>36</v>
      </c>
      <c r="AC47" s="229" t="s">
        <v>259</v>
      </c>
      <c r="AD47" s="66" t="s">
        <v>217</v>
      </c>
      <c r="AE47" s="47">
        <v>1</v>
      </c>
    </row>
    <row r="48" spans="1:31" ht="20.100000000000001" customHeight="1" x14ac:dyDescent="0.3">
      <c r="B48" s="61">
        <v>10</v>
      </c>
      <c r="C48" s="76"/>
      <c r="D48" s="72"/>
      <c r="E48" s="72"/>
      <c r="F48" s="72"/>
      <c r="G48" s="73"/>
      <c r="H48" s="74"/>
      <c r="I48" s="74"/>
      <c r="J48" s="74"/>
      <c r="K48" s="74"/>
      <c r="L48" s="74"/>
      <c r="AB48" s="60">
        <v>37</v>
      </c>
      <c r="AC48" s="229" t="s">
        <v>260</v>
      </c>
      <c r="AD48" s="66" t="s">
        <v>173</v>
      </c>
      <c r="AE48" s="47">
        <v>1</v>
      </c>
    </row>
    <row r="49" spans="2:31" ht="20.100000000000001" customHeight="1" x14ac:dyDescent="0.3">
      <c r="B49" s="73">
        <v>11</v>
      </c>
      <c r="C49" s="76"/>
      <c r="D49" s="72"/>
      <c r="E49" s="72"/>
      <c r="F49" s="72"/>
      <c r="G49" s="73"/>
      <c r="H49" s="74"/>
      <c r="I49" s="74"/>
      <c r="J49" s="74"/>
      <c r="K49" s="74"/>
      <c r="L49" s="74"/>
      <c r="AB49" s="60">
        <v>38</v>
      </c>
      <c r="AC49" s="229" t="s">
        <v>261</v>
      </c>
      <c r="AD49" s="66" t="s">
        <v>173</v>
      </c>
      <c r="AE49" s="47">
        <v>1</v>
      </c>
    </row>
    <row r="50" spans="2:31" ht="20.100000000000001" customHeight="1" x14ac:dyDescent="0.3">
      <c r="B50" s="73">
        <v>12</v>
      </c>
      <c r="C50" s="76"/>
      <c r="D50" s="72"/>
      <c r="E50" s="72"/>
      <c r="F50" s="72"/>
      <c r="G50" s="73"/>
      <c r="H50" s="74"/>
      <c r="I50" s="74"/>
      <c r="J50" s="74"/>
      <c r="K50" s="74"/>
      <c r="L50" s="74"/>
      <c r="AB50" s="60">
        <v>39</v>
      </c>
      <c r="AC50" s="229" t="s">
        <v>263</v>
      </c>
      <c r="AD50" s="66" t="s">
        <v>173</v>
      </c>
      <c r="AE50" s="47">
        <v>1</v>
      </c>
    </row>
    <row r="51" spans="2:31" ht="20.100000000000001" customHeight="1" x14ac:dyDescent="0.3">
      <c r="B51" s="73">
        <v>13</v>
      </c>
      <c r="C51" s="76"/>
      <c r="D51" s="72"/>
      <c r="E51" s="72"/>
      <c r="F51" s="72"/>
      <c r="G51" s="73"/>
      <c r="H51" s="74"/>
      <c r="I51" s="74"/>
      <c r="J51" s="74"/>
      <c r="K51" s="74"/>
      <c r="L51" s="74"/>
      <c r="AB51" s="60">
        <v>40</v>
      </c>
      <c r="AC51" s="229" t="s">
        <v>264</v>
      </c>
      <c r="AD51" s="66" t="s">
        <v>134</v>
      </c>
      <c r="AE51" s="47">
        <v>1</v>
      </c>
    </row>
    <row r="52" spans="2:31" ht="20.100000000000001" customHeight="1" x14ac:dyDescent="0.3">
      <c r="B52" s="73">
        <v>14</v>
      </c>
      <c r="C52" s="76"/>
      <c r="D52" s="72"/>
      <c r="E52" s="72"/>
      <c r="F52" s="72"/>
      <c r="G52" s="73"/>
      <c r="H52" s="74"/>
      <c r="I52" s="74"/>
      <c r="J52" s="74"/>
      <c r="K52" s="74"/>
      <c r="L52" s="74"/>
      <c r="AB52" s="60">
        <v>41</v>
      </c>
      <c r="AC52" s="229" t="s">
        <v>266</v>
      </c>
      <c r="AD52" s="66" t="s">
        <v>134</v>
      </c>
      <c r="AE52" s="47">
        <v>1</v>
      </c>
    </row>
    <row r="53" spans="2:31" ht="20.100000000000001" customHeight="1" x14ac:dyDescent="0.3">
      <c r="B53" s="73">
        <v>15</v>
      </c>
      <c r="C53" s="76"/>
      <c r="D53" s="72"/>
      <c r="E53" s="72"/>
      <c r="F53" s="72"/>
      <c r="G53" s="73"/>
      <c r="H53" s="74"/>
      <c r="I53" s="74"/>
      <c r="J53" s="74"/>
      <c r="K53" s="74"/>
      <c r="L53" s="74"/>
      <c r="AB53" s="60">
        <v>42</v>
      </c>
      <c r="AC53" s="229" t="s">
        <v>267</v>
      </c>
      <c r="AD53" s="66" t="s">
        <v>134</v>
      </c>
      <c r="AE53" s="47">
        <v>1</v>
      </c>
    </row>
    <row r="54" spans="2:31" ht="20.100000000000001" customHeight="1" x14ac:dyDescent="0.3">
      <c r="B54" s="73">
        <v>16</v>
      </c>
      <c r="C54" s="76"/>
      <c r="D54" s="72"/>
      <c r="E54" s="72"/>
      <c r="F54" s="72"/>
      <c r="G54" s="73"/>
      <c r="H54" s="74"/>
      <c r="I54" s="74"/>
      <c r="J54" s="74"/>
      <c r="K54" s="74"/>
      <c r="L54" s="74"/>
      <c r="AB54" s="60">
        <v>43</v>
      </c>
      <c r="AC54" s="229" t="s">
        <v>269</v>
      </c>
      <c r="AD54" s="66" t="s">
        <v>176</v>
      </c>
      <c r="AE54" s="47">
        <v>1</v>
      </c>
    </row>
    <row r="55" spans="2:31" ht="20.100000000000001" customHeight="1" x14ac:dyDescent="0.3">
      <c r="D55" s="32">
        <f>SUM(D39:D54)/2</f>
        <v>5</v>
      </c>
      <c r="E55" s="32">
        <f>SUM(E39:E54)</f>
        <v>5</v>
      </c>
      <c r="F55" s="32">
        <f>SUM(F39:F54)/2</f>
        <v>0</v>
      </c>
      <c r="G55" s="32">
        <f>SUM(G39:G54)</f>
        <v>5</v>
      </c>
      <c r="H55" s="32">
        <f>SUM(H39:H54)</f>
        <v>26</v>
      </c>
      <c r="I55" s="32">
        <f>SUM(I39:I54)</f>
        <v>26</v>
      </c>
      <c r="AB55" s="60">
        <v>44</v>
      </c>
      <c r="AC55" s="229" t="s">
        <v>270</v>
      </c>
      <c r="AD55" s="66" t="s">
        <v>136</v>
      </c>
      <c r="AE55" s="47">
        <v>1</v>
      </c>
    </row>
    <row r="56" spans="2:31" ht="20.100000000000001" customHeight="1" x14ac:dyDescent="0.3">
      <c r="B56" s="77"/>
      <c r="C56" s="32" t="s">
        <v>118</v>
      </c>
      <c r="AB56" s="60">
        <v>45</v>
      </c>
      <c r="AC56" s="229" t="s">
        <v>271</v>
      </c>
      <c r="AD56" s="66" t="s">
        <v>136</v>
      </c>
      <c r="AE56" s="47">
        <v>1</v>
      </c>
    </row>
    <row r="57" spans="2:31" ht="20.100000000000001" customHeight="1" x14ac:dyDescent="0.3">
      <c r="AB57" s="60">
        <v>46</v>
      </c>
      <c r="AC57" s="229" t="s">
        <v>274</v>
      </c>
      <c r="AD57" s="66" t="s">
        <v>156</v>
      </c>
      <c r="AE57" s="47">
        <v>1</v>
      </c>
    </row>
    <row r="58" spans="2:31" ht="20.100000000000001" customHeight="1" x14ac:dyDescent="0.3">
      <c r="AB58" s="60">
        <v>47</v>
      </c>
      <c r="AC58" s="229" t="s">
        <v>275</v>
      </c>
      <c r="AD58" s="66" t="s">
        <v>156</v>
      </c>
      <c r="AE58" s="47">
        <v>1</v>
      </c>
    </row>
    <row r="59" spans="2:31" ht="20.100000000000001" customHeight="1" x14ac:dyDescent="0.3">
      <c r="AB59" s="60">
        <v>48</v>
      </c>
      <c r="AC59" s="229" t="s">
        <v>276</v>
      </c>
      <c r="AD59" s="66" t="s">
        <v>156</v>
      </c>
      <c r="AE59" s="47">
        <v>1</v>
      </c>
    </row>
    <row r="60" spans="2:31" ht="20.100000000000001" customHeight="1" x14ac:dyDescent="0.3">
      <c r="D60" s="34" t="s">
        <v>111</v>
      </c>
      <c r="E60" s="34"/>
      <c r="AB60" s="60">
        <v>49</v>
      </c>
      <c r="AC60" s="229" t="s">
        <v>277</v>
      </c>
      <c r="AD60" s="66" t="s">
        <v>213</v>
      </c>
      <c r="AE60" s="47">
        <v>1</v>
      </c>
    </row>
    <row r="61" spans="2:31" ht="20.100000000000001" customHeight="1" x14ac:dyDescent="0.3">
      <c r="D61" s="34" t="s">
        <v>112</v>
      </c>
      <c r="AB61" s="60">
        <v>50</v>
      </c>
      <c r="AC61" s="229" t="s">
        <v>278</v>
      </c>
      <c r="AD61" s="66" t="s">
        <v>239</v>
      </c>
      <c r="AE61" s="47">
        <v>1</v>
      </c>
    </row>
    <row r="62" spans="2:31" ht="20.100000000000001" customHeight="1" x14ac:dyDescent="0.3">
      <c r="D62" s="34" t="s">
        <v>113</v>
      </c>
      <c r="AB62" s="60">
        <v>51</v>
      </c>
      <c r="AC62" s="229" t="s">
        <v>279</v>
      </c>
      <c r="AD62" s="66" t="s">
        <v>239</v>
      </c>
      <c r="AE62" s="47">
        <v>1</v>
      </c>
    </row>
    <row r="63" spans="2:31" ht="20.100000000000001" customHeight="1" x14ac:dyDescent="0.3">
      <c r="AB63" s="60">
        <v>52</v>
      </c>
      <c r="AC63" s="229" t="s">
        <v>280</v>
      </c>
      <c r="AD63" s="66" t="s">
        <v>148</v>
      </c>
      <c r="AE63" s="47">
        <v>1</v>
      </c>
    </row>
    <row r="64" spans="2:31" ht="20.100000000000001" customHeight="1" x14ac:dyDescent="0.3">
      <c r="AB64" s="60">
        <v>53</v>
      </c>
      <c r="AC64" s="229" t="s">
        <v>281</v>
      </c>
      <c r="AD64" s="66" t="s">
        <v>148</v>
      </c>
      <c r="AE64" s="47">
        <v>1</v>
      </c>
    </row>
    <row r="65" spans="1:31" ht="20.100000000000001" customHeight="1" x14ac:dyDescent="0.3">
      <c r="C65" s="334" t="s">
        <v>39</v>
      </c>
      <c r="D65" s="335"/>
      <c r="E65" s="335"/>
      <c r="F65" s="335"/>
      <c r="G65" s="335"/>
      <c r="H65" s="335"/>
      <c r="I65" s="335"/>
      <c r="J65" s="335"/>
      <c r="K65" s="335"/>
      <c r="L65" s="336"/>
      <c r="AB65" s="60">
        <v>54</v>
      </c>
      <c r="AC65" s="229" t="s">
        <v>283</v>
      </c>
      <c r="AD65" s="66" t="s">
        <v>145</v>
      </c>
      <c r="AE65" s="47">
        <v>1</v>
      </c>
    </row>
    <row r="66" spans="1:31" ht="20.100000000000001" customHeight="1" x14ac:dyDescent="0.3">
      <c r="C66" s="235" t="s">
        <v>16</v>
      </c>
      <c r="D66" s="235" t="s">
        <v>19</v>
      </c>
      <c r="E66" s="235" t="s">
        <v>20</v>
      </c>
      <c r="F66" s="235" t="s">
        <v>21</v>
      </c>
      <c r="G66" s="39" t="s">
        <v>22</v>
      </c>
      <c r="H66" s="237" t="s">
        <v>23</v>
      </c>
      <c r="I66" s="237" t="s">
        <v>24</v>
      </c>
      <c r="J66" s="236" t="s">
        <v>25</v>
      </c>
      <c r="K66" s="42" t="s">
        <v>38</v>
      </c>
      <c r="L66" s="43" t="s">
        <v>26</v>
      </c>
      <c r="AB66" s="60">
        <v>55</v>
      </c>
      <c r="AC66" s="229" t="s">
        <v>284</v>
      </c>
      <c r="AD66" s="66" t="s">
        <v>153</v>
      </c>
      <c r="AE66" s="47">
        <v>1</v>
      </c>
    </row>
    <row r="67" spans="1:31" ht="20.100000000000001" customHeight="1" x14ac:dyDescent="0.3">
      <c r="B67" s="45">
        <v>1</v>
      </c>
      <c r="C67" s="46" t="s">
        <v>165</v>
      </c>
      <c r="D67" s="47">
        <v>1</v>
      </c>
      <c r="E67" s="47">
        <v>1</v>
      </c>
      <c r="F67" s="47">
        <v>0</v>
      </c>
      <c r="G67" s="48">
        <v>0</v>
      </c>
      <c r="H67" s="49">
        <v>3</v>
      </c>
      <c r="I67" s="49">
        <v>2</v>
      </c>
      <c r="J67" s="49">
        <v>1</v>
      </c>
      <c r="K67" s="50">
        <v>2</v>
      </c>
      <c r="L67" s="49">
        <v>3</v>
      </c>
      <c r="AB67" s="60">
        <v>56</v>
      </c>
      <c r="AC67" s="229" t="s">
        <v>285</v>
      </c>
      <c r="AD67" s="66" t="s">
        <v>168</v>
      </c>
      <c r="AE67" s="47">
        <v>1</v>
      </c>
    </row>
    <row r="68" spans="1:31" ht="20.100000000000001" customHeight="1" x14ac:dyDescent="0.3">
      <c r="B68" s="59">
        <v>2</v>
      </c>
      <c r="C68" s="46" t="s">
        <v>217</v>
      </c>
      <c r="D68" s="47">
        <v>1</v>
      </c>
      <c r="E68" s="47">
        <v>0</v>
      </c>
      <c r="F68" s="47">
        <v>1</v>
      </c>
      <c r="G68" s="48">
        <v>0</v>
      </c>
      <c r="H68" s="49">
        <v>2</v>
      </c>
      <c r="I68" s="49">
        <v>2</v>
      </c>
      <c r="J68" s="49">
        <v>0</v>
      </c>
      <c r="K68" s="49">
        <v>2</v>
      </c>
      <c r="L68" s="49">
        <v>1</v>
      </c>
      <c r="M68" s="35"/>
      <c r="AB68" s="60">
        <v>57</v>
      </c>
      <c r="AC68" s="229" t="s">
        <v>288</v>
      </c>
      <c r="AD68" s="66" t="s">
        <v>252</v>
      </c>
      <c r="AE68" s="47">
        <v>1</v>
      </c>
    </row>
    <row r="69" spans="1:31" ht="20.100000000000001" customHeight="1" x14ac:dyDescent="0.3">
      <c r="B69" s="59">
        <v>3</v>
      </c>
      <c r="C69" s="46" t="s">
        <v>206</v>
      </c>
      <c r="D69" s="47">
        <v>1</v>
      </c>
      <c r="E69" s="47">
        <v>0</v>
      </c>
      <c r="F69" s="47">
        <v>1</v>
      </c>
      <c r="G69" s="48">
        <v>0</v>
      </c>
      <c r="H69" s="61">
        <v>2</v>
      </c>
      <c r="I69" s="49">
        <v>2</v>
      </c>
      <c r="J69" s="49">
        <v>0</v>
      </c>
      <c r="K69" s="49">
        <v>2</v>
      </c>
      <c r="L69" s="49">
        <v>1</v>
      </c>
      <c r="M69" s="35"/>
      <c r="AB69" s="60">
        <v>58</v>
      </c>
      <c r="AC69" s="229" t="s">
        <v>290</v>
      </c>
      <c r="AD69" s="66" t="s">
        <v>162</v>
      </c>
      <c r="AE69" s="47">
        <v>1</v>
      </c>
    </row>
    <row r="70" spans="1:31" ht="20.100000000000001" customHeight="1" x14ac:dyDescent="0.3">
      <c r="A70" s="44"/>
      <c r="B70" s="45">
        <v>4</v>
      </c>
      <c r="C70" s="46" t="s">
        <v>174</v>
      </c>
      <c r="D70" s="47">
        <v>0</v>
      </c>
      <c r="E70" s="47">
        <v>0</v>
      </c>
      <c r="F70" s="47">
        <v>0</v>
      </c>
      <c r="G70" s="48">
        <v>0</v>
      </c>
      <c r="H70" s="49">
        <v>0</v>
      </c>
      <c r="I70" s="49">
        <v>0</v>
      </c>
      <c r="J70" s="49">
        <v>0</v>
      </c>
      <c r="K70" s="49" t="s">
        <v>180</v>
      </c>
      <c r="L70" s="49">
        <v>0</v>
      </c>
      <c r="AB70" s="60">
        <v>59</v>
      </c>
      <c r="AC70" s="229" t="s">
        <v>291</v>
      </c>
      <c r="AD70" s="66" t="s">
        <v>162</v>
      </c>
      <c r="AE70" s="47">
        <v>1</v>
      </c>
    </row>
    <row r="71" spans="1:31" ht="20.100000000000001" customHeight="1" x14ac:dyDescent="0.3">
      <c r="B71" s="45">
        <v>5</v>
      </c>
      <c r="C71" s="66" t="s">
        <v>142</v>
      </c>
      <c r="D71" s="47">
        <v>1</v>
      </c>
      <c r="E71" s="47">
        <v>0</v>
      </c>
      <c r="F71" s="47">
        <v>0</v>
      </c>
      <c r="G71" s="48">
        <v>1</v>
      </c>
      <c r="H71" s="49">
        <v>2</v>
      </c>
      <c r="I71" s="49">
        <v>3</v>
      </c>
      <c r="J71" s="49">
        <v>-1</v>
      </c>
      <c r="K71" s="49">
        <v>3</v>
      </c>
      <c r="L71" s="49">
        <v>0</v>
      </c>
      <c r="AB71" s="60">
        <v>60</v>
      </c>
      <c r="AC71" s="229" t="s">
        <v>292</v>
      </c>
      <c r="AD71" s="66" t="s">
        <v>162</v>
      </c>
      <c r="AE71" s="47">
        <v>1</v>
      </c>
    </row>
    <row r="72" spans="1:31" ht="20.100000000000001" customHeight="1" x14ac:dyDescent="0.3">
      <c r="B72" s="67">
        <v>6</v>
      </c>
      <c r="C72" s="68"/>
      <c r="D72" s="65"/>
      <c r="E72" s="65"/>
      <c r="F72" s="65"/>
      <c r="G72" s="61"/>
      <c r="H72" s="69"/>
      <c r="I72" s="69"/>
      <c r="J72" s="69"/>
      <c r="K72" s="69"/>
      <c r="L72" s="69"/>
    </row>
    <row r="73" spans="1:31" ht="20.100000000000001" customHeight="1" x14ac:dyDescent="0.3">
      <c r="B73" s="70">
        <v>7</v>
      </c>
      <c r="C73" s="71"/>
      <c r="D73" s="72"/>
      <c r="E73" s="72"/>
      <c r="F73" s="72"/>
      <c r="G73" s="73"/>
      <c r="H73" s="74"/>
      <c r="I73" s="74"/>
      <c r="J73" s="74"/>
      <c r="K73" s="74"/>
      <c r="L73" s="74"/>
    </row>
    <row r="74" spans="1:31" ht="20.100000000000001" customHeight="1" x14ac:dyDescent="0.3">
      <c r="B74" s="70">
        <v>8</v>
      </c>
      <c r="C74" s="71"/>
      <c r="D74" s="72"/>
      <c r="E74" s="72"/>
      <c r="F74" s="72"/>
      <c r="G74" s="73"/>
      <c r="H74" s="74"/>
      <c r="I74" s="74"/>
      <c r="J74" s="74"/>
      <c r="K74" s="74"/>
      <c r="L74" s="74"/>
    </row>
    <row r="75" spans="1:31" ht="20.100000000000001" customHeight="1" x14ac:dyDescent="0.3">
      <c r="B75" s="75">
        <v>9</v>
      </c>
      <c r="C75" s="71"/>
      <c r="D75" s="72"/>
      <c r="E75" s="72"/>
      <c r="F75" s="72"/>
      <c r="G75" s="73"/>
      <c r="H75" s="74"/>
      <c r="I75" s="74"/>
      <c r="J75" s="74"/>
      <c r="K75" s="74"/>
      <c r="L75" s="74"/>
    </row>
    <row r="76" spans="1:31" ht="20.100000000000001" customHeight="1" x14ac:dyDescent="0.3">
      <c r="B76" s="61">
        <v>10</v>
      </c>
      <c r="C76" s="76"/>
      <c r="D76" s="72"/>
      <c r="E76" s="72"/>
      <c r="F76" s="72"/>
      <c r="G76" s="73"/>
      <c r="H76" s="74"/>
      <c r="I76" s="74"/>
      <c r="J76" s="74"/>
      <c r="K76" s="74"/>
      <c r="L76" s="74"/>
    </row>
    <row r="77" spans="1:31" ht="20.100000000000001" customHeight="1" x14ac:dyDescent="0.3">
      <c r="B77" s="73">
        <v>11</v>
      </c>
      <c r="C77" s="76"/>
      <c r="D77" s="72"/>
      <c r="E77" s="72"/>
      <c r="F77" s="72"/>
      <c r="G77" s="73"/>
      <c r="H77" s="74"/>
      <c r="I77" s="74"/>
      <c r="J77" s="74"/>
      <c r="K77" s="74"/>
      <c r="L77" s="74"/>
    </row>
    <row r="78" spans="1:31" ht="20.100000000000001" customHeight="1" x14ac:dyDescent="0.3">
      <c r="B78" s="73">
        <v>12</v>
      </c>
      <c r="C78" s="76"/>
      <c r="D78" s="72"/>
      <c r="E78" s="72"/>
      <c r="F78" s="72"/>
      <c r="G78" s="73"/>
      <c r="H78" s="74"/>
      <c r="I78" s="74"/>
      <c r="J78" s="74"/>
      <c r="K78" s="74"/>
      <c r="L78" s="74"/>
    </row>
    <row r="79" spans="1:31" ht="20.100000000000001" customHeight="1" x14ac:dyDescent="0.3">
      <c r="B79" s="73">
        <v>13</v>
      </c>
      <c r="C79" s="76"/>
      <c r="D79" s="72"/>
      <c r="E79" s="72"/>
      <c r="F79" s="72"/>
      <c r="G79" s="73"/>
      <c r="H79" s="74"/>
      <c r="I79" s="74"/>
      <c r="J79" s="74"/>
      <c r="K79" s="74"/>
      <c r="L79" s="74"/>
    </row>
    <row r="80" spans="1:31" ht="20.100000000000001" customHeight="1" x14ac:dyDescent="0.3">
      <c r="B80" s="73">
        <v>14</v>
      </c>
      <c r="C80" s="76"/>
      <c r="D80" s="72"/>
      <c r="E80" s="72"/>
      <c r="F80" s="72"/>
      <c r="G80" s="73"/>
      <c r="H80" s="74"/>
      <c r="I80" s="74"/>
      <c r="J80" s="74"/>
      <c r="K80" s="74"/>
      <c r="L80" s="74"/>
    </row>
    <row r="81" spans="2:13" ht="20.100000000000001" customHeight="1" x14ac:dyDescent="0.3">
      <c r="B81" s="73">
        <v>15</v>
      </c>
      <c r="C81" s="76"/>
      <c r="D81" s="72"/>
      <c r="E81" s="72"/>
      <c r="F81" s="72"/>
      <c r="G81" s="73"/>
      <c r="H81" s="74"/>
      <c r="I81" s="74"/>
      <c r="J81" s="74"/>
      <c r="K81" s="74"/>
      <c r="L81" s="74"/>
    </row>
    <row r="82" spans="2:13" ht="20.100000000000001" customHeight="1" x14ac:dyDescent="0.3">
      <c r="B82" s="73">
        <v>16</v>
      </c>
      <c r="C82" s="76"/>
      <c r="D82" s="72"/>
      <c r="E82" s="72"/>
      <c r="F82" s="72"/>
      <c r="G82" s="73"/>
      <c r="H82" s="74"/>
      <c r="I82" s="74"/>
      <c r="J82" s="74"/>
      <c r="K82" s="74"/>
      <c r="L82" s="74"/>
    </row>
    <row r="83" spans="2:13" ht="20.100000000000001" customHeight="1" x14ac:dyDescent="0.3">
      <c r="D83" s="32">
        <f>SUM(D67:D82)/2</f>
        <v>2</v>
      </c>
      <c r="E83" s="32">
        <f>SUM(E67:E82)</f>
        <v>1</v>
      </c>
      <c r="F83" s="32">
        <f>SUM(F67:F82)/2</f>
        <v>1</v>
      </c>
      <c r="G83" s="32">
        <f>SUM(G67:G82)</f>
        <v>1</v>
      </c>
      <c r="H83" s="32">
        <f>SUM(H67:H82)</f>
        <v>9</v>
      </c>
      <c r="I83" s="32">
        <f>SUM(I67:I82)</f>
        <v>9</v>
      </c>
    </row>
    <row r="84" spans="2:13" ht="20.100000000000001" customHeight="1" x14ac:dyDescent="0.3">
      <c r="B84" s="77"/>
      <c r="C84" s="32" t="s">
        <v>118</v>
      </c>
    </row>
    <row r="88" spans="2:13" ht="20.100000000000001" customHeight="1" x14ac:dyDescent="0.3">
      <c r="D88" s="34" t="s">
        <v>111</v>
      </c>
      <c r="E88" s="34"/>
    </row>
    <row r="89" spans="2:13" ht="20.100000000000001" customHeight="1" x14ac:dyDescent="0.3">
      <c r="D89" s="34" t="s">
        <v>112</v>
      </c>
    </row>
    <row r="90" spans="2:13" ht="20.100000000000001" customHeight="1" x14ac:dyDescent="0.3">
      <c r="D90" s="34" t="s">
        <v>113</v>
      </c>
    </row>
    <row r="93" spans="2:13" ht="20.100000000000001" customHeight="1" x14ac:dyDescent="0.3">
      <c r="C93" s="334" t="s">
        <v>41</v>
      </c>
      <c r="D93" s="335"/>
      <c r="E93" s="335"/>
      <c r="F93" s="335"/>
      <c r="G93" s="335"/>
      <c r="H93" s="335"/>
      <c r="I93" s="335"/>
      <c r="J93" s="335"/>
      <c r="K93" s="335"/>
      <c r="L93" s="336"/>
    </row>
    <row r="94" spans="2:13" ht="20.100000000000001" customHeight="1" x14ac:dyDescent="0.3">
      <c r="C94" s="235" t="s">
        <v>16</v>
      </c>
      <c r="D94" s="235" t="s">
        <v>19</v>
      </c>
      <c r="E94" s="235" t="s">
        <v>20</v>
      </c>
      <c r="F94" s="235" t="s">
        <v>21</v>
      </c>
      <c r="G94" s="39" t="s">
        <v>22</v>
      </c>
      <c r="H94" s="237" t="s">
        <v>23</v>
      </c>
      <c r="I94" s="237" t="s">
        <v>24</v>
      </c>
      <c r="J94" s="236" t="s">
        <v>25</v>
      </c>
      <c r="K94" s="42" t="s">
        <v>38</v>
      </c>
      <c r="L94" s="43" t="s">
        <v>26</v>
      </c>
    </row>
    <row r="95" spans="2:13" ht="20.100000000000001" customHeight="1" x14ac:dyDescent="0.3">
      <c r="B95" s="45">
        <v>1</v>
      </c>
      <c r="C95" s="46" t="s">
        <v>134</v>
      </c>
      <c r="D95" s="47">
        <v>2</v>
      </c>
      <c r="E95" s="47">
        <v>1</v>
      </c>
      <c r="F95" s="47">
        <v>1</v>
      </c>
      <c r="G95" s="48">
        <v>0</v>
      </c>
      <c r="H95" s="49">
        <v>7</v>
      </c>
      <c r="I95" s="49">
        <v>5</v>
      </c>
      <c r="J95" s="49">
        <v>2</v>
      </c>
      <c r="K95" s="50">
        <v>2.5</v>
      </c>
      <c r="L95" s="49">
        <v>4</v>
      </c>
    </row>
    <row r="96" spans="2:13" ht="20.100000000000001" customHeight="1" x14ac:dyDescent="0.3">
      <c r="B96" s="59">
        <v>2</v>
      </c>
      <c r="C96" s="46" t="s">
        <v>204</v>
      </c>
      <c r="D96" s="47">
        <v>1</v>
      </c>
      <c r="E96" s="47">
        <v>1</v>
      </c>
      <c r="F96" s="47">
        <v>0</v>
      </c>
      <c r="G96" s="48">
        <v>0</v>
      </c>
      <c r="H96" s="49">
        <v>4</v>
      </c>
      <c r="I96" s="49">
        <v>1</v>
      </c>
      <c r="J96" s="49">
        <v>3</v>
      </c>
      <c r="K96" s="49">
        <v>1</v>
      </c>
      <c r="L96" s="49">
        <v>3</v>
      </c>
      <c r="M96" s="35"/>
    </row>
    <row r="97" spans="1:13" ht="20.100000000000001" customHeight="1" x14ac:dyDescent="0.3">
      <c r="B97" s="59">
        <v>3</v>
      </c>
      <c r="C97" s="46" t="s">
        <v>145</v>
      </c>
      <c r="D97" s="47">
        <v>1</v>
      </c>
      <c r="E97" s="47">
        <v>1</v>
      </c>
      <c r="F97" s="47">
        <v>0</v>
      </c>
      <c r="G97" s="48">
        <v>0</v>
      </c>
      <c r="H97" s="61">
        <v>3</v>
      </c>
      <c r="I97" s="49">
        <v>1</v>
      </c>
      <c r="J97" s="49">
        <v>2</v>
      </c>
      <c r="K97" s="49">
        <v>1</v>
      </c>
      <c r="L97" s="49">
        <v>3</v>
      </c>
      <c r="M97" s="35"/>
    </row>
    <row r="98" spans="1:13" ht="20.100000000000001" customHeight="1" x14ac:dyDescent="0.3">
      <c r="A98" s="44"/>
      <c r="B98" s="45">
        <v>4</v>
      </c>
      <c r="C98" s="46" t="s">
        <v>173</v>
      </c>
      <c r="D98" s="47">
        <v>1</v>
      </c>
      <c r="E98" s="47">
        <v>0</v>
      </c>
      <c r="F98" s="47">
        <v>1</v>
      </c>
      <c r="G98" s="48">
        <v>0</v>
      </c>
      <c r="H98" s="49">
        <v>5</v>
      </c>
      <c r="I98" s="49">
        <v>5</v>
      </c>
      <c r="J98" s="49">
        <v>0</v>
      </c>
      <c r="K98" s="49">
        <v>5</v>
      </c>
      <c r="L98" s="49">
        <v>1</v>
      </c>
    </row>
    <row r="99" spans="1:13" ht="20.100000000000001" customHeight="1" x14ac:dyDescent="0.3">
      <c r="B99" s="45">
        <v>5</v>
      </c>
      <c r="C99" s="66" t="s">
        <v>229</v>
      </c>
      <c r="D99" s="47">
        <v>0</v>
      </c>
      <c r="E99" s="47">
        <v>0</v>
      </c>
      <c r="F99" s="47">
        <v>0</v>
      </c>
      <c r="G99" s="48">
        <v>0</v>
      </c>
      <c r="H99" s="49">
        <v>0</v>
      </c>
      <c r="I99" s="49">
        <v>0</v>
      </c>
      <c r="J99" s="49">
        <v>0</v>
      </c>
      <c r="K99" s="49" t="s">
        <v>180</v>
      </c>
      <c r="L99" s="49">
        <v>0</v>
      </c>
    </row>
    <row r="100" spans="1:13" ht="20.100000000000001" customHeight="1" x14ac:dyDescent="0.3">
      <c r="B100" s="67">
        <v>6</v>
      </c>
      <c r="C100" s="68" t="s">
        <v>249</v>
      </c>
      <c r="D100" s="65">
        <v>0</v>
      </c>
      <c r="E100" s="65">
        <v>0</v>
      </c>
      <c r="F100" s="65">
        <v>0</v>
      </c>
      <c r="G100" s="61">
        <v>0</v>
      </c>
      <c r="H100" s="69">
        <v>0</v>
      </c>
      <c r="I100" s="69">
        <v>0</v>
      </c>
      <c r="J100" s="69">
        <v>0</v>
      </c>
      <c r="K100" s="69" t="s">
        <v>180</v>
      </c>
      <c r="L100" s="69">
        <v>0</v>
      </c>
    </row>
    <row r="101" spans="1:13" ht="20.100000000000001" customHeight="1" x14ac:dyDescent="0.3">
      <c r="B101" s="70">
        <v>7</v>
      </c>
      <c r="C101" s="71" t="s">
        <v>168</v>
      </c>
      <c r="D101" s="72">
        <v>1</v>
      </c>
      <c r="E101" s="72">
        <v>0</v>
      </c>
      <c r="F101" s="72">
        <v>0</v>
      </c>
      <c r="G101" s="73">
        <v>1</v>
      </c>
      <c r="H101" s="74">
        <v>1</v>
      </c>
      <c r="I101" s="74">
        <v>4</v>
      </c>
      <c r="J101" s="74">
        <v>-3</v>
      </c>
      <c r="K101" s="74">
        <v>4</v>
      </c>
      <c r="L101" s="74">
        <v>0</v>
      </c>
    </row>
    <row r="102" spans="1:13" ht="20.100000000000001" customHeight="1" x14ac:dyDescent="0.3">
      <c r="B102" s="70">
        <v>8</v>
      </c>
      <c r="C102" s="71" t="s">
        <v>153</v>
      </c>
      <c r="D102" s="72">
        <v>2</v>
      </c>
      <c r="E102" s="72">
        <v>0</v>
      </c>
      <c r="F102" s="72">
        <v>0</v>
      </c>
      <c r="G102" s="73">
        <v>2</v>
      </c>
      <c r="H102" s="74">
        <v>1</v>
      </c>
      <c r="I102" s="74">
        <v>5</v>
      </c>
      <c r="J102" s="74">
        <v>-4</v>
      </c>
      <c r="K102" s="74">
        <v>2.5</v>
      </c>
      <c r="L102" s="74">
        <v>0</v>
      </c>
    </row>
    <row r="103" spans="1:13" ht="20.100000000000001" customHeight="1" x14ac:dyDescent="0.3">
      <c r="B103" s="75">
        <v>9</v>
      </c>
      <c r="C103" s="71"/>
      <c r="D103" s="72"/>
      <c r="E103" s="72"/>
      <c r="F103" s="72"/>
      <c r="G103" s="73"/>
      <c r="H103" s="74"/>
      <c r="I103" s="74"/>
      <c r="J103" s="74"/>
      <c r="K103" s="74"/>
      <c r="L103" s="74"/>
    </row>
    <row r="104" spans="1:13" ht="20.100000000000001" customHeight="1" x14ac:dyDescent="0.3">
      <c r="B104" s="61">
        <v>10</v>
      </c>
      <c r="C104" s="76"/>
      <c r="D104" s="72"/>
      <c r="E104" s="72"/>
      <c r="F104" s="72"/>
      <c r="G104" s="73"/>
      <c r="H104" s="74"/>
      <c r="I104" s="74"/>
      <c r="J104" s="74"/>
      <c r="K104" s="74"/>
      <c r="L104" s="74"/>
    </row>
    <row r="105" spans="1:13" ht="20.100000000000001" customHeight="1" x14ac:dyDescent="0.3">
      <c r="B105" s="73">
        <v>11</v>
      </c>
      <c r="C105" s="76"/>
      <c r="D105" s="72"/>
      <c r="E105" s="72"/>
      <c r="F105" s="72"/>
      <c r="G105" s="73"/>
      <c r="H105" s="74"/>
      <c r="I105" s="74"/>
      <c r="J105" s="74"/>
      <c r="K105" s="74"/>
      <c r="L105" s="74"/>
    </row>
    <row r="106" spans="1:13" ht="20.100000000000001" customHeight="1" x14ac:dyDescent="0.3">
      <c r="B106" s="73">
        <v>12</v>
      </c>
      <c r="C106" s="76"/>
      <c r="D106" s="72"/>
      <c r="E106" s="72"/>
      <c r="F106" s="72"/>
      <c r="G106" s="73"/>
      <c r="H106" s="74"/>
      <c r="I106" s="74"/>
      <c r="J106" s="74"/>
      <c r="K106" s="74"/>
      <c r="L106" s="74"/>
    </row>
    <row r="107" spans="1:13" ht="20.100000000000001" customHeight="1" x14ac:dyDescent="0.3">
      <c r="B107" s="73">
        <v>13</v>
      </c>
      <c r="C107" s="76"/>
      <c r="D107" s="72"/>
      <c r="E107" s="72"/>
      <c r="F107" s="72"/>
      <c r="G107" s="73"/>
      <c r="H107" s="74"/>
      <c r="I107" s="74"/>
      <c r="J107" s="74"/>
      <c r="K107" s="74"/>
      <c r="L107" s="74"/>
    </row>
    <row r="108" spans="1:13" ht="20.100000000000001" customHeight="1" x14ac:dyDescent="0.3">
      <c r="B108" s="73">
        <v>14</v>
      </c>
      <c r="C108" s="76"/>
      <c r="D108" s="72"/>
      <c r="E108" s="72"/>
      <c r="F108" s="72"/>
      <c r="G108" s="73"/>
      <c r="H108" s="74"/>
      <c r="I108" s="74"/>
      <c r="J108" s="74"/>
      <c r="K108" s="74"/>
      <c r="L108" s="74"/>
    </row>
    <row r="109" spans="1:13" ht="20.100000000000001" customHeight="1" x14ac:dyDescent="0.3">
      <c r="B109" s="73">
        <v>15</v>
      </c>
      <c r="C109" s="76"/>
      <c r="D109" s="72"/>
      <c r="E109" s="72"/>
      <c r="F109" s="72"/>
      <c r="G109" s="73"/>
      <c r="H109" s="74"/>
      <c r="I109" s="74"/>
      <c r="J109" s="74"/>
      <c r="K109" s="74"/>
      <c r="L109" s="74"/>
    </row>
    <row r="110" spans="1:13" ht="20.100000000000001" customHeight="1" x14ac:dyDescent="0.3">
      <c r="B110" s="73">
        <v>16</v>
      </c>
      <c r="C110" s="76"/>
      <c r="D110" s="72"/>
      <c r="E110" s="72"/>
      <c r="F110" s="72"/>
      <c r="G110" s="73"/>
      <c r="H110" s="74"/>
      <c r="I110" s="74"/>
      <c r="J110" s="74"/>
      <c r="K110" s="74"/>
      <c r="L110" s="74"/>
    </row>
    <row r="111" spans="1:13" ht="20.100000000000001" customHeight="1" x14ac:dyDescent="0.3">
      <c r="D111" s="32">
        <f>SUM(D95:D110)/2</f>
        <v>4</v>
      </c>
      <c r="E111" s="32">
        <f>SUM(E95:E110)</f>
        <v>3</v>
      </c>
      <c r="F111" s="32">
        <f>SUM(F95:F110)/2</f>
        <v>1</v>
      </c>
      <c r="G111" s="32">
        <f>SUM(G95:G110)</f>
        <v>3</v>
      </c>
      <c r="H111" s="32">
        <f>SUM(H95:H110)</f>
        <v>21</v>
      </c>
      <c r="I111" s="32">
        <f>SUM(I95:I110)</f>
        <v>21</v>
      </c>
    </row>
    <row r="112" spans="1:13" ht="20.100000000000001" customHeight="1" x14ac:dyDescent="0.3">
      <c r="B112" s="77"/>
      <c r="C112" s="32" t="s">
        <v>118</v>
      </c>
    </row>
  </sheetData>
  <sortState ref="P12:S22">
    <sortCondition descending="1" ref="Q12:Q22"/>
    <sortCondition descending="1" ref="S12:S22"/>
  </sortState>
  <mergeCells count="10">
    <mergeCell ref="C37:L37"/>
    <mergeCell ref="C65:L65"/>
    <mergeCell ref="C93:L93"/>
    <mergeCell ref="C9:L9"/>
    <mergeCell ref="P9:S9"/>
    <mergeCell ref="W9:Y9"/>
    <mergeCell ref="AC9:AE9"/>
    <mergeCell ref="P10:S10"/>
    <mergeCell ref="W10:Y10"/>
    <mergeCell ref="AC10:AE10"/>
  </mergeCells>
  <pageMargins left="0.39370078740157483" right="0.19685039370078741" top="0.19685039370078741" bottom="0.19685039370078741" header="0.31496062992125984" footer="0.31496062992125984"/>
  <pageSetup scale="70" orientation="portrait" horizontalDpi="300" verticalDpi="300" r:id="rId1"/>
  <drawing r:id="rId2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2F6EE-5579-4857-B724-5E68A0B28890}">
  <sheetPr codeName="Hoja21"/>
  <dimension ref="A4:AI112"/>
  <sheetViews>
    <sheetView showGridLines="0" zoomScale="70" zoomScaleNormal="70" zoomScalePageLayoutView="90" workbookViewId="0"/>
  </sheetViews>
  <sheetFormatPr baseColWidth="10" defaultRowHeight="20.100000000000001" customHeight="1" x14ac:dyDescent="0.3"/>
  <cols>
    <col min="1" max="1" width="2.7109375" style="32" customWidth="1"/>
    <col min="2" max="2" width="4.7109375" style="32" customWidth="1"/>
    <col min="3" max="3" width="65.7109375" style="32" customWidth="1"/>
    <col min="4" max="9" width="7.7109375" style="32" customWidth="1"/>
    <col min="10" max="11" width="7.7109375" style="33" customWidth="1"/>
    <col min="12" max="12" width="7.7109375" style="32" customWidth="1"/>
    <col min="13" max="14" width="2.7109375" style="32" customWidth="1"/>
    <col min="15" max="15" width="4.7109375" style="32" customWidth="1"/>
    <col min="16" max="16" width="58.7109375" style="32" customWidth="1"/>
    <col min="17" max="17" width="8.7109375" style="32" customWidth="1"/>
    <col min="18" max="18" width="58.7109375" style="32" customWidth="1"/>
    <col min="19" max="19" width="8.7109375" style="32" customWidth="1"/>
    <col min="20" max="21" width="2.7109375" style="32" customWidth="1"/>
    <col min="22" max="22" width="4.7109375" style="32" customWidth="1"/>
    <col min="23" max="24" width="60.7109375" style="32" customWidth="1"/>
    <col min="25" max="25" width="10.7109375" style="32" customWidth="1"/>
    <col min="26" max="27" width="2.7109375" style="32" customWidth="1"/>
    <col min="28" max="28" width="5.7109375" style="32" customWidth="1"/>
    <col min="29" max="30" width="60.7109375" style="32" customWidth="1"/>
    <col min="31" max="31" width="13.7109375" style="32" customWidth="1"/>
    <col min="32" max="33" width="2.7109375" style="32" customWidth="1"/>
    <col min="34" max="16384" width="11.42578125" style="32"/>
  </cols>
  <sheetData>
    <row r="4" spans="1:35" ht="20.100000000000001" customHeight="1" x14ac:dyDescent="0.3">
      <c r="D4" s="34" t="s">
        <v>111</v>
      </c>
      <c r="E4" s="34"/>
      <c r="Q4" s="34" t="s">
        <v>111</v>
      </c>
      <c r="X4" s="34" t="s">
        <v>111</v>
      </c>
      <c r="AD4" s="34" t="s">
        <v>111</v>
      </c>
    </row>
    <row r="5" spans="1:35" ht="20.100000000000001" customHeight="1" x14ac:dyDescent="0.3">
      <c r="D5" s="34" t="s">
        <v>112</v>
      </c>
      <c r="Q5" s="34" t="s">
        <v>112</v>
      </c>
      <c r="X5" s="34" t="s">
        <v>112</v>
      </c>
      <c r="AD5" s="34" t="s">
        <v>112</v>
      </c>
    </row>
    <row r="6" spans="1:35" ht="20.100000000000001" customHeight="1" x14ac:dyDescent="0.3">
      <c r="D6" s="34" t="s">
        <v>113</v>
      </c>
      <c r="Q6" s="34" t="s">
        <v>113</v>
      </c>
      <c r="X6" s="34" t="s">
        <v>113</v>
      </c>
      <c r="AD6" s="34" t="s">
        <v>113</v>
      </c>
    </row>
    <row r="9" spans="1:35" ht="20.100000000000001" customHeight="1" x14ac:dyDescent="0.3">
      <c r="C9" s="334" t="s">
        <v>18</v>
      </c>
      <c r="D9" s="335"/>
      <c r="E9" s="335"/>
      <c r="F9" s="335"/>
      <c r="G9" s="335"/>
      <c r="H9" s="335"/>
      <c r="I9" s="335"/>
      <c r="J9" s="335"/>
      <c r="K9" s="335"/>
      <c r="L9" s="336"/>
      <c r="M9" s="35"/>
      <c r="P9" s="325" t="s">
        <v>114</v>
      </c>
      <c r="Q9" s="326"/>
      <c r="R9" s="326"/>
      <c r="S9" s="327"/>
      <c r="T9" s="36"/>
      <c r="U9" s="37"/>
      <c r="W9" s="325" t="s">
        <v>115</v>
      </c>
      <c r="X9" s="326"/>
      <c r="Y9" s="327"/>
      <c r="Z9" s="37"/>
      <c r="AA9" s="37"/>
      <c r="AC9" s="325" t="s">
        <v>116</v>
      </c>
      <c r="AD9" s="326"/>
      <c r="AE9" s="327"/>
    </row>
    <row r="10" spans="1:35" ht="20.100000000000001" customHeight="1" x14ac:dyDescent="0.3">
      <c r="C10" s="38" t="s">
        <v>16</v>
      </c>
      <c r="D10" s="38" t="s">
        <v>19</v>
      </c>
      <c r="E10" s="38" t="s">
        <v>20</v>
      </c>
      <c r="F10" s="38" t="s">
        <v>21</v>
      </c>
      <c r="G10" s="39" t="s">
        <v>22</v>
      </c>
      <c r="H10" s="40" t="s">
        <v>23</v>
      </c>
      <c r="I10" s="40" t="s">
        <v>24</v>
      </c>
      <c r="J10" s="41" t="s">
        <v>25</v>
      </c>
      <c r="K10" s="42" t="s">
        <v>38</v>
      </c>
      <c r="L10" s="43" t="s">
        <v>26</v>
      </c>
      <c r="M10" s="35"/>
      <c r="P10" s="328" t="s">
        <v>181</v>
      </c>
      <c r="Q10" s="329"/>
      <c r="R10" s="329"/>
      <c r="S10" s="330"/>
      <c r="T10" s="37"/>
      <c r="U10" s="37"/>
      <c r="W10" s="331" t="s">
        <v>181</v>
      </c>
      <c r="X10" s="332"/>
      <c r="Y10" s="333"/>
      <c r="Z10" s="37"/>
      <c r="AA10" s="37"/>
      <c r="AC10" s="331" t="s">
        <v>181</v>
      </c>
      <c r="AD10" s="332"/>
      <c r="AE10" s="333"/>
    </row>
    <row r="11" spans="1:35" ht="20.100000000000001" customHeight="1" x14ac:dyDescent="0.3">
      <c r="A11" s="44"/>
      <c r="B11" s="45">
        <v>1</v>
      </c>
      <c r="C11" s="46" t="s">
        <v>148</v>
      </c>
      <c r="D11" s="47">
        <v>1</v>
      </c>
      <c r="E11" s="47">
        <v>1</v>
      </c>
      <c r="F11" s="47">
        <v>0</v>
      </c>
      <c r="G11" s="48">
        <v>0</v>
      </c>
      <c r="H11" s="49">
        <v>6</v>
      </c>
      <c r="I11" s="49">
        <v>0</v>
      </c>
      <c r="J11" s="49">
        <v>6</v>
      </c>
      <c r="K11" s="50" t="s">
        <v>180</v>
      </c>
      <c r="L11" s="49">
        <v>3</v>
      </c>
      <c r="O11" s="51" t="s">
        <v>37</v>
      </c>
      <c r="P11" s="43" t="s">
        <v>16</v>
      </c>
      <c r="Q11" s="43" t="s">
        <v>117</v>
      </c>
      <c r="R11" s="43" t="s">
        <v>16</v>
      </c>
      <c r="S11" s="43" t="s">
        <v>117</v>
      </c>
      <c r="T11" s="36"/>
      <c r="U11" s="37"/>
      <c r="V11" s="51" t="s">
        <v>37</v>
      </c>
      <c r="W11" s="52" t="s">
        <v>78</v>
      </c>
      <c r="X11" s="53" t="s">
        <v>16</v>
      </c>
      <c r="Y11" s="54" t="s">
        <v>82</v>
      </c>
      <c r="Z11" s="36"/>
      <c r="AA11" s="37"/>
      <c r="AB11" s="51" t="s">
        <v>37</v>
      </c>
      <c r="AC11" s="55" t="s">
        <v>78</v>
      </c>
      <c r="AD11" s="53" t="s">
        <v>16</v>
      </c>
      <c r="AE11" s="56" t="s">
        <v>117</v>
      </c>
      <c r="AH11" s="57">
        <f>SUBTOTAL(9,Tabla36789101112131415[GOLES])</f>
        <v>25</v>
      </c>
      <c r="AI11" s="58">
        <f>H27+H55+H83+H111</f>
        <v>25</v>
      </c>
    </row>
    <row r="12" spans="1:35" ht="20.100000000000001" customHeight="1" x14ac:dyDescent="0.3">
      <c r="B12" s="59">
        <v>2</v>
      </c>
      <c r="C12" s="46" t="s">
        <v>138</v>
      </c>
      <c r="D12" s="47">
        <v>1</v>
      </c>
      <c r="E12" s="47">
        <v>0</v>
      </c>
      <c r="F12" s="47">
        <v>1</v>
      </c>
      <c r="G12" s="48">
        <v>0</v>
      </c>
      <c r="H12" s="49">
        <v>4</v>
      </c>
      <c r="I12" s="49">
        <v>4</v>
      </c>
      <c r="J12" s="49">
        <v>0</v>
      </c>
      <c r="K12" s="49">
        <v>4</v>
      </c>
      <c r="L12" s="49">
        <v>1</v>
      </c>
      <c r="O12" s="60">
        <v>1</v>
      </c>
      <c r="P12" s="62" t="s">
        <v>148</v>
      </c>
      <c r="Q12" s="61">
        <v>6</v>
      </c>
      <c r="R12" s="62" t="s">
        <v>176</v>
      </c>
      <c r="S12" s="61">
        <v>0</v>
      </c>
      <c r="T12" s="37"/>
      <c r="U12" s="37"/>
      <c r="V12" s="60">
        <v>1</v>
      </c>
      <c r="W12" s="62" t="s">
        <v>182</v>
      </c>
      <c r="X12" s="63"/>
      <c r="Y12" s="61"/>
      <c r="Z12" s="37"/>
      <c r="AA12" s="37"/>
      <c r="AB12" s="60">
        <v>1</v>
      </c>
      <c r="AC12" s="64" t="s">
        <v>191</v>
      </c>
      <c r="AD12" s="63" t="s">
        <v>136</v>
      </c>
      <c r="AE12" s="65">
        <v>3</v>
      </c>
    </row>
    <row r="13" spans="1:35" ht="20.100000000000001" customHeight="1" x14ac:dyDescent="0.3">
      <c r="B13" s="59">
        <v>3</v>
      </c>
      <c r="C13" s="46" t="s">
        <v>171</v>
      </c>
      <c r="D13" s="47">
        <v>1</v>
      </c>
      <c r="E13" s="47">
        <v>0</v>
      </c>
      <c r="F13" s="47">
        <v>1</v>
      </c>
      <c r="G13" s="48">
        <v>0</v>
      </c>
      <c r="H13" s="61">
        <v>4</v>
      </c>
      <c r="I13" s="49">
        <v>4</v>
      </c>
      <c r="J13" s="49">
        <v>0</v>
      </c>
      <c r="K13" s="49">
        <v>4</v>
      </c>
      <c r="L13" s="49">
        <v>1</v>
      </c>
      <c r="O13" s="60">
        <v>2</v>
      </c>
      <c r="P13" s="62" t="s">
        <v>136</v>
      </c>
      <c r="Q13" s="61">
        <v>6</v>
      </c>
      <c r="R13" s="62" t="s">
        <v>156</v>
      </c>
      <c r="S13" s="61">
        <v>0</v>
      </c>
      <c r="T13" s="37"/>
      <c r="U13" s="37"/>
      <c r="Z13" s="37"/>
      <c r="AA13" s="37"/>
      <c r="AB13" s="60">
        <v>2</v>
      </c>
      <c r="AC13" s="229" t="s">
        <v>185</v>
      </c>
      <c r="AD13" s="66" t="s">
        <v>148</v>
      </c>
      <c r="AE13" s="47">
        <v>2</v>
      </c>
    </row>
    <row r="14" spans="1:35" ht="20.100000000000001" customHeight="1" x14ac:dyDescent="0.3">
      <c r="B14" s="45">
        <v>4</v>
      </c>
      <c r="C14" s="46" t="s">
        <v>176</v>
      </c>
      <c r="D14" s="47">
        <v>1</v>
      </c>
      <c r="E14" s="47">
        <v>0</v>
      </c>
      <c r="F14" s="47">
        <v>0</v>
      </c>
      <c r="G14" s="48">
        <v>1</v>
      </c>
      <c r="H14" s="49">
        <v>0</v>
      </c>
      <c r="I14" s="49">
        <v>6</v>
      </c>
      <c r="J14" s="49">
        <v>-6</v>
      </c>
      <c r="K14" s="49">
        <v>6</v>
      </c>
      <c r="L14" s="49">
        <v>0</v>
      </c>
      <c r="O14" s="60">
        <v>3</v>
      </c>
      <c r="P14" s="62" t="s">
        <v>171</v>
      </c>
      <c r="Q14" s="61">
        <v>4</v>
      </c>
      <c r="R14" s="62" t="s">
        <v>138</v>
      </c>
      <c r="S14" s="61">
        <v>4</v>
      </c>
      <c r="T14" s="37"/>
      <c r="U14" s="37"/>
      <c r="Z14" s="37"/>
      <c r="AA14" s="37"/>
      <c r="AB14" s="60">
        <v>3</v>
      </c>
      <c r="AC14" s="229" t="s">
        <v>186</v>
      </c>
      <c r="AD14" s="66" t="s">
        <v>148</v>
      </c>
      <c r="AE14" s="47">
        <v>2</v>
      </c>
    </row>
    <row r="15" spans="1:35" ht="20.100000000000001" customHeight="1" x14ac:dyDescent="0.3">
      <c r="B15" s="45">
        <v>5</v>
      </c>
      <c r="C15" s="66"/>
      <c r="D15" s="47"/>
      <c r="E15" s="47"/>
      <c r="F15" s="47"/>
      <c r="G15" s="48"/>
      <c r="H15" s="49"/>
      <c r="I15" s="49"/>
      <c r="J15" s="49"/>
      <c r="K15" s="49"/>
      <c r="L15" s="49"/>
      <c r="O15" s="60">
        <v>4</v>
      </c>
      <c r="P15" s="62" t="s">
        <v>162</v>
      </c>
      <c r="Q15" s="61">
        <v>2</v>
      </c>
      <c r="R15" s="62" t="s">
        <v>102</v>
      </c>
      <c r="S15" s="61">
        <v>1</v>
      </c>
      <c r="T15" s="37"/>
      <c r="U15" s="37"/>
      <c r="Z15" s="37"/>
      <c r="AA15" s="37"/>
      <c r="AB15" s="60">
        <v>4</v>
      </c>
      <c r="AC15" s="229" t="s">
        <v>187</v>
      </c>
      <c r="AD15" s="66" t="s">
        <v>134</v>
      </c>
      <c r="AE15" s="47">
        <v>2</v>
      </c>
    </row>
    <row r="16" spans="1:35" ht="20.100000000000001" customHeight="1" x14ac:dyDescent="0.3">
      <c r="B16" s="67">
        <v>6</v>
      </c>
      <c r="C16" s="68"/>
      <c r="D16" s="65"/>
      <c r="E16" s="65"/>
      <c r="F16" s="65"/>
      <c r="G16" s="61"/>
      <c r="H16" s="69"/>
      <c r="I16" s="69"/>
      <c r="J16" s="69"/>
      <c r="K16" s="69"/>
      <c r="L16" s="69"/>
      <c r="O16" s="60">
        <v>5</v>
      </c>
      <c r="P16" s="62" t="s">
        <v>134</v>
      </c>
      <c r="Q16" s="61">
        <v>2</v>
      </c>
      <c r="R16" s="62" t="s">
        <v>153</v>
      </c>
      <c r="S16" s="61">
        <v>0</v>
      </c>
      <c r="T16" s="37"/>
      <c r="U16" s="37"/>
      <c r="Z16" s="37"/>
      <c r="AA16" s="37"/>
      <c r="AB16" s="60">
        <v>5</v>
      </c>
      <c r="AC16" s="229" t="s">
        <v>183</v>
      </c>
      <c r="AD16" s="66" t="s">
        <v>148</v>
      </c>
      <c r="AE16" s="47">
        <v>1</v>
      </c>
    </row>
    <row r="17" spans="2:31" ht="20.100000000000001" customHeight="1" x14ac:dyDescent="0.3">
      <c r="B17" s="70">
        <v>7</v>
      </c>
      <c r="C17" s="71"/>
      <c r="D17" s="72"/>
      <c r="E17" s="72"/>
      <c r="F17" s="72"/>
      <c r="G17" s="73"/>
      <c r="H17" s="74"/>
      <c r="I17" s="74"/>
      <c r="J17" s="74"/>
      <c r="K17" s="74"/>
      <c r="L17" s="74"/>
      <c r="T17" s="37"/>
      <c r="U17" s="37"/>
      <c r="Z17" s="37"/>
      <c r="AA17" s="37"/>
      <c r="AB17" s="60">
        <v>6</v>
      </c>
      <c r="AC17" s="229" t="s">
        <v>184</v>
      </c>
      <c r="AD17" s="66" t="s">
        <v>148</v>
      </c>
      <c r="AE17" s="47">
        <v>1</v>
      </c>
    </row>
    <row r="18" spans="2:31" ht="20.100000000000001" customHeight="1" x14ac:dyDescent="0.3">
      <c r="B18" s="70">
        <v>8</v>
      </c>
      <c r="C18" s="71"/>
      <c r="D18" s="72"/>
      <c r="E18" s="72"/>
      <c r="F18" s="72"/>
      <c r="G18" s="73"/>
      <c r="H18" s="74"/>
      <c r="I18" s="74"/>
      <c r="J18" s="74"/>
      <c r="K18" s="74"/>
      <c r="L18" s="74"/>
      <c r="T18" s="37"/>
      <c r="U18" s="37"/>
      <c r="Z18" s="37"/>
      <c r="AA18" s="37"/>
      <c r="AB18" s="60">
        <v>7</v>
      </c>
      <c r="AC18" s="229" t="s">
        <v>188</v>
      </c>
      <c r="AD18" s="66" t="s">
        <v>162</v>
      </c>
      <c r="AE18" s="47">
        <v>1</v>
      </c>
    </row>
    <row r="19" spans="2:31" ht="20.100000000000001" customHeight="1" x14ac:dyDescent="0.3">
      <c r="B19" s="75">
        <v>9</v>
      </c>
      <c r="C19" s="71"/>
      <c r="D19" s="72"/>
      <c r="E19" s="72"/>
      <c r="F19" s="72"/>
      <c r="G19" s="73"/>
      <c r="H19" s="74"/>
      <c r="I19" s="74"/>
      <c r="J19" s="74"/>
      <c r="K19" s="74"/>
      <c r="L19" s="74"/>
      <c r="T19" s="37"/>
      <c r="U19" s="37"/>
      <c r="AB19" s="60">
        <v>8</v>
      </c>
      <c r="AC19" s="229" t="s">
        <v>189</v>
      </c>
      <c r="AD19" s="66" t="s">
        <v>162</v>
      </c>
      <c r="AE19" s="47">
        <v>1</v>
      </c>
    </row>
    <row r="20" spans="2:31" ht="20.100000000000001" customHeight="1" x14ac:dyDescent="0.3">
      <c r="B20" s="61">
        <v>10</v>
      </c>
      <c r="C20" s="76"/>
      <c r="D20" s="72"/>
      <c r="E20" s="72"/>
      <c r="F20" s="72"/>
      <c r="G20" s="73"/>
      <c r="H20" s="74"/>
      <c r="I20" s="74"/>
      <c r="J20" s="74"/>
      <c r="K20" s="74"/>
      <c r="L20" s="74"/>
      <c r="T20" s="37"/>
      <c r="U20" s="37"/>
      <c r="AB20" s="60">
        <v>9</v>
      </c>
      <c r="AC20" s="229" t="s">
        <v>190</v>
      </c>
      <c r="AD20" s="66" t="s">
        <v>102</v>
      </c>
      <c r="AE20" s="47">
        <v>1</v>
      </c>
    </row>
    <row r="21" spans="2:31" ht="20.100000000000001" customHeight="1" x14ac:dyDescent="0.3">
      <c r="B21" s="73">
        <v>11</v>
      </c>
      <c r="C21" s="76"/>
      <c r="D21" s="72"/>
      <c r="E21" s="72"/>
      <c r="F21" s="72"/>
      <c r="G21" s="73"/>
      <c r="H21" s="74"/>
      <c r="I21" s="74"/>
      <c r="J21" s="74"/>
      <c r="K21" s="74"/>
      <c r="L21" s="74"/>
      <c r="T21" s="37"/>
      <c r="U21" s="37"/>
      <c r="AB21" s="60">
        <v>10</v>
      </c>
      <c r="AC21" s="229" t="s">
        <v>192</v>
      </c>
      <c r="AD21" s="66" t="s">
        <v>136</v>
      </c>
      <c r="AE21" s="47">
        <v>1</v>
      </c>
    </row>
    <row r="22" spans="2:31" ht="20.100000000000001" customHeight="1" x14ac:dyDescent="0.3">
      <c r="B22" s="73">
        <v>12</v>
      </c>
      <c r="C22" s="76"/>
      <c r="D22" s="72"/>
      <c r="E22" s="72"/>
      <c r="F22" s="72"/>
      <c r="G22" s="73"/>
      <c r="H22" s="74"/>
      <c r="I22" s="74"/>
      <c r="J22" s="74"/>
      <c r="K22" s="74"/>
      <c r="L22" s="74"/>
      <c r="T22" s="37"/>
      <c r="U22" s="37"/>
      <c r="AB22" s="60">
        <v>11</v>
      </c>
      <c r="AC22" s="229" t="s">
        <v>193</v>
      </c>
      <c r="AD22" s="66" t="s">
        <v>136</v>
      </c>
      <c r="AE22" s="47">
        <v>1</v>
      </c>
    </row>
    <row r="23" spans="2:31" ht="20.100000000000001" customHeight="1" x14ac:dyDescent="0.3">
      <c r="B23" s="73">
        <v>13</v>
      </c>
      <c r="C23" s="76"/>
      <c r="D23" s="72"/>
      <c r="E23" s="72"/>
      <c r="F23" s="72"/>
      <c r="G23" s="73"/>
      <c r="H23" s="74"/>
      <c r="I23" s="74"/>
      <c r="J23" s="74"/>
      <c r="K23" s="74"/>
      <c r="L23" s="74"/>
      <c r="T23" s="37"/>
      <c r="U23" s="37"/>
      <c r="AB23" s="60">
        <v>12</v>
      </c>
      <c r="AC23" s="229" t="s">
        <v>194</v>
      </c>
      <c r="AD23" s="66" t="s">
        <v>136</v>
      </c>
      <c r="AE23" s="47">
        <v>1</v>
      </c>
    </row>
    <row r="24" spans="2:31" ht="20.100000000000001" customHeight="1" x14ac:dyDescent="0.3">
      <c r="B24" s="73">
        <v>14</v>
      </c>
      <c r="C24" s="76"/>
      <c r="D24" s="72"/>
      <c r="E24" s="72"/>
      <c r="F24" s="72"/>
      <c r="G24" s="73"/>
      <c r="H24" s="74"/>
      <c r="I24" s="74"/>
      <c r="J24" s="74"/>
      <c r="K24" s="74"/>
      <c r="L24" s="74"/>
      <c r="T24" s="37"/>
      <c r="U24" s="37"/>
      <c r="AB24" s="60">
        <v>13</v>
      </c>
      <c r="AC24" s="229" t="s">
        <v>195</v>
      </c>
      <c r="AD24" s="66" t="s">
        <v>171</v>
      </c>
      <c r="AE24" s="47">
        <v>1</v>
      </c>
    </row>
    <row r="25" spans="2:31" ht="20.100000000000001" customHeight="1" x14ac:dyDescent="0.3">
      <c r="B25" s="73">
        <v>15</v>
      </c>
      <c r="C25" s="76"/>
      <c r="D25" s="72"/>
      <c r="E25" s="72"/>
      <c r="F25" s="72"/>
      <c r="G25" s="73"/>
      <c r="H25" s="74"/>
      <c r="I25" s="74"/>
      <c r="J25" s="74"/>
      <c r="K25" s="74"/>
      <c r="L25" s="74"/>
      <c r="AB25" s="60">
        <v>14</v>
      </c>
      <c r="AC25" s="229" t="s">
        <v>196</v>
      </c>
      <c r="AD25" s="66" t="s">
        <v>171</v>
      </c>
      <c r="AE25" s="47">
        <v>1</v>
      </c>
    </row>
    <row r="26" spans="2:31" ht="20.100000000000001" customHeight="1" x14ac:dyDescent="0.3">
      <c r="B26" s="73">
        <v>16</v>
      </c>
      <c r="C26" s="76"/>
      <c r="D26" s="72"/>
      <c r="E26" s="72"/>
      <c r="F26" s="72"/>
      <c r="G26" s="73"/>
      <c r="H26" s="74"/>
      <c r="I26" s="74"/>
      <c r="J26" s="74"/>
      <c r="K26" s="74"/>
      <c r="L26" s="74"/>
      <c r="AB26" s="60">
        <v>15</v>
      </c>
      <c r="AC26" s="229" t="s">
        <v>197</v>
      </c>
      <c r="AD26" s="66" t="s">
        <v>171</v>
      </c>
      <c r="AE26" s="47">
        <v>1</v>
      </c>
    </row>
    <row r="27" spans="2:31" ht="20.100000000000001" customHeight="1" x14ac:dyDescent="0.3">
      <c r="D27" s="32">
        <f>SUM(D11:D26)/2</f>
        <v>2</v>
      </c>
      <c r="E27" s="32">
        <f>SUM(E11:E26)</f>
        <v>1</v>
      </c>
      <c r="F27" s="32">
        <f>SUM(F11:F26)/2</f>
        <v>1</v>
      </c>
      <c r="G27" s="32">
        <f>SUM(G11:G26)</f>
        <v>1</v>
      </c>
      <c r="H27" s="32">
        <f>SUM(H11:H26)</f>
        <v>14</v>
      </c>
      <c r="I27" s="32">
        <f>SUM(I11:I26)</f>
        <v>14</v>
      </c>
      <c r="AB27" s="60">
        <v>16</v>
      </c>
      <c r="AC27" s="229" t="s">
        <v>198</v>
      </c>
      <c r="AD27" s="66" t="s">
        <v>171</v>
      </c>
      <c r="AE27" s="47">
        <v>1</v>
      </c>
    </row>
    <row r="28" spans="2:31" ht="20.100000000000001" customHeight="1" x14ac:dyDescent="0.3">
      <c r="B28" s="77"/>
      <c r="C28" s="32" t="s">
        <v>118</v>
      </c>
      <c r="AB28" s="60">
        <v>17</v>
      </c>
      <c r="AC28" s="229" t="s">
        <v>199</v>
      </c>
      <c r="AD28" s="66" t="s">
        <v>138</v>
      </c>
      <c r="AE28" s="47">
        <v>1</v>
      </c>
    </row>
    <row r="29" spans="2:31" ht="20.100000000000001" customHeight="1" x14ac:dyDescent="0.3">
      <c r="AB29" s="60">
        <v>18</v>
      </c>
      <c r="AC29" s="229" t="s">
        <v>200</v>
      </c>
      <c r="AD29" s="66" t="s">
        <v>138</v>
      </c>
      <c r="AE29" s="47">
        <v>1</v>
      </c>
    </row>
    <row r="30" spans="2:31" ht="20.100000000000001" customHeight="1" x14ac:dyDescent="0.3">
      <c r="AB30" s="60">
        <v>19</v>
      </c>
      <c r="AC30" s="229" t="s">
        <v>201</v>
      </c>
      <c r="AD30" s="66" t="s">
        <v>138</v>
      </c>
      <c r="AE30" s="47">
        <v>1</v>
      </c>
    </row>
    <row r="31" spans="2:31" ht="20.100000000000001" customHeight="1" x14ac:dyDescent="0.3">
      <c r="AB31" s="60">
        <v>20</v>
      </c>
      <c r="AC31" s="229" t="s">
        <v>202</v>
      </c>
      <c r="AD31" s="66" t="s">
        <v>138</v>
      </c>
      <c r="AE31" s="47">
        <v>1</v>
      </c>
    </row>
    <row r="32" spans="2:31" ht="20.100000000000001" customHeight="1" x14ac:dyDescent="0.3">
      <c r="D32" s="34" t="s">
        <v>111</v>
      </c>
      <c r="E32" s="34"/>
    </row>
    <row r="33" spans="1:13" ht="20.100000000000001" customHeight="1" x14ac:dyDescent="0.3">
      <c r="D33" s="34" t="s">
        <v>112</v>
      </c>
    </row>
    <row r="34" spans="1:13" ht="20.100000000000001" customHeight="1" x14ac:dyDescent="0.3">
      <c r="D34" s="34" t="s">
        <v>113</v>
      </c>
    </row>
    <row r="37" spans="1:13" ht="20.100000000000001" customHeight="1" x14ac:dyDescent="0.3">
      <c r="C37" s="334" t="s">
        <v>27</v>
      </c>
      <c r="D37" s="335"/>
      <c r="E37" s="335"/>
      <c r="F37" s="335"/>
      <c r="G37" s="335"/>
      <c r="H37" s="335"/>
      <c r="I37" s="335"/>
      <c r="J37" s="335"/>
      <c r="K37" s="335"/>
      <c r="L37" s="336"/>
    </row>
    <row r="38" spans="1:13" ht="20.100000000000001" customHeight="1" x14ac:dyDescent="0.3">
      <c r="C38" s="38" t="s">
        <v>16</v>
      </c>
      <c r="D38" s="38" t="s">
        <v>19</v>
      </c>
      <c r="E38" s="38" t="s">
        <v>20</v>
      </c>
      <c r="F38" s="38" t="s">
        <v>21</v>
      </c>
      <c r="G38" s="39" t="s">
        <v>22</v>
      </c>
      <c r="H38" s="40" t="s">
        <v>23</v>
      </c>
      <c r="I38" s="40" t="s">
        <v>24</v>
      </c>
      <c r="J38" s="41" t="s">
        <v>25</v>
      </c>
      <c r="K38" s="42" t="s">
        <v>38</v>
      </c>
      <c r="L38" s="43" t="s">
        <v>26</v>
      </c>
    </row>
    <row r="39" spans="1:13" ht="20.100000000000001" customHeight="1" x14ac:dyDescent="0.3">
      <c r="B39" s="45">
        <v>1</v>
      </c>
      <c r="C39" s="46" t="s">
        <v>136</v>
      </c>
      <c r="D39" s="47">
        <v>1</v>
      </c>
      <c r="E39" s="47">
        <v>1</v>
      </c>
      <c r="F39" s="47">
        <v>0</v>
      </c>
      <c r="G39" s="48">
        <v>0</v>
      </c>
      <c r="H39" s="49">
        <v>6</v>
      </c>
      <c r="I39" s="49">
        <v>0</v>
      </c>
      <c r="J39" s="49">
        <v>6</v>
      </c>
      <c r="K39" s="50" t="s">
        <v>180</v>
      </c>
      <c r="L39" s="49">
        <v>3</v>
      </c>
    </row>
    <row r="40" spans="1:13" ht="20.100000000000001" customHeight="1" x14ac:dyDescent="0.3">
      <c r="B40" s="59">
        <v>2</v>
      </c>
      <c r="C40" s="46" t="s">
        <v>162</v>
      </c>
      <c r="D40" s="47">
        <v>1</v>
      </c>
      <c r="E40" s="47">
        <v>1</v>
      </c>
      <c r="F40" s="47">
        <v>0</v>
      </c>
      <c r="G40" s="48">
        <v>0</v>
      </c>
      <c r="H40" s="49">
        <v>2</v>
      </c>
      <c r="I40" s="49">
        <v>1</v>
      </c>
      <c r="J40" s="49">
        <v>1</v>
      </c>
      <c r="K40" s="49">
        <v>1</v>
      </c>
      <c r="L40" s="49">
        <v>3</v>
      </c>
      <c r="M40" s="35"/>
    </row>
    <row r="41" spans="1:13" ht="20.100000000000001" customHeight="1" x14ac:dyDescent="0.3">
      <c r="B41" s="59">
        <v>3</v>
      </c>
      <c r="C41" s="46" t="s">
        <v>150</v>
      </c>
      <c r="D41" s="47">
        <v>0</v>
      </c>
      <c r="E41" s="47">
        <v>0</v>
      </c>
      <c r="F41" s="47">
        <v>0</v>
      </c>
      <c r="G41" s="48">
        <v>0</v>
      </c>
      <c r="H41" s="61">
        <v>0</v>
      </c>
      <c r="I41" s="49">
        <v>0</v>
      </c>
      <c r="J41" s="49">
        <v>0</v>
      </c>
      <c r="K41" s="49" t="s">
        <v>180</v>
      </c>
      <c r="L41" s="49">
        <v>0</v>
      </c>
      <c r="M41" s="35"/>
    </row>
    <row r="42" spans="1:13" ht="20.100000000000001" customHeight="1" x14ac:dyDescent="0.3">
      <c r="A42" s="44"/>
      <c r="B42" s="45">
        <v>4</v>
      </c>
      <c r="C42" s="46" t="s">
        <v>102</v>
      </c>
      <c r="D42" s="47">
        <v>1</v>
      </c>
      <c r="E42" s="47">
        <v>0</v>
      </c>
      <c r="F42" s="47">
        <v>0</v>
      </c>
      <c r="G42" s="48">
        <v>1</v>
      </c>
      <c r="H42" s="49">
        <v>1</v>
      </c>
      <c r="I42" s="49">
        <v>2</v>
      </c>
      <c r="J42" s="49">
        <v>-1</v>
      </c>
      <c r="K42" s="49">
        <v>2</v>
      </c>
      <c r="L42" s="49">
        <v>0</v>
      </c>
    </row>
    <row r="43" spans="1:13" ht="20.100000000000001" customHeight="1" x14ac:dyDescent="0.3">
      <c r="B43" s="45">
        <v>5</v>
      </c>
      <c r="C43" s="66" t="s">
        <v>156</v>
      </c>
      <c r="D43" s="47">
        <v>1</v>
      </c>
      <c r="E43" s="47">
        <v>0</v>
      </c>
      <c r="F43" s="47">
        <v>0</v>
      </c>
      <c r="G43" s="48">
        <v>1</v>
      </c>
      <c r="H43" s="49">
        <v>0</v>
      </c>
      <c r="I43" s="49">
        <v>6</v>
      </c>
      <c r="J43" s="49">
        <v>-6</v>
      </c>
      <c r="K43" s="49">
        <v>6</v>
      </c>
      <c r="L43" s="49">
        <v>0</v>
      </c>
    </row>
    <row r="44" spans="1:13" ht="20.100000000000001" customHeight="1" x14ac:dyDescent="0.3">
      <c r="B44" s="67">
        <v>6</v>
      </c>
      <c r="C44" s="68"/>
      <c r="D44" s="65"/>
      <c r="E44" s="65"/>
      <c r="F44" s="65"/>
      <c r="G44" s="61"/>
      <c r="H44" s="69"/>
      <c r="I44" s="69"/>
      <c r="J44" s="69"/>
      <c r="K44" s="69"/>
      <c r="L44" s="69"/>
    </row>
    <row r="45" spans="1:13" ht="20.100000000000001" customHeight="1" x14ac:dyDescent="0.3">
      <c r="B45" s="70">
        <v>7</v>
      </c>
      <c r="C45" s="71"/>
      <c r="D45" s="72"/>
      <c r="E45" s="72"/>
      <c r="F45" s="72"/>
      <c r="G45" s="73"/>
      <c r="H45" s="74"/>
      <c r="I45" s="74"/>
      <c r="J45" s="74"/>
      <c r="K45" s="74"/>
      <c r="L45" s="74"/>
    </row>
    <row r="46" spans="1:13" ht="20.100000000000001" customHeight="1" x14ac:dyDescent="0.3">
      <c r="B46" s="70">
        <v>8</v>
      </c>
      <c r="C46" s="71"/>
      <c r="D46" s="72"/>
      <c r="E46" s="72"/>
      <c r="F46" s="72"/>
      <c r="G46" s="73"/>
      <c r="H46" s="74"/>
      <c r="I46" s="74"/>
      <c r="J46" s="74"/>
      <c r="K46" s="74"/>
      <c r="L46" s="74"/>
    </row>
    <row r="47" spans="1:13" ht="20.100000000000001" customHeight="1" x14ac:dyDescent="0.3">
      <c r="B47" s="75">
        <v>9</v>
      </c>
      <c r="C47" s="71"/>
      <c r="D47" s="72"/>
      <c r="E47" s="72"/>
      <c r="F47" s="72"/>
      <c r="G47" s="73"/>
      <c r="H47" s="74"/>
      <c r="I47" s="74"/>
      <c r="J47" s="74"/>
      <c r="K47" s="74"/>
      <c r="L47" s="74"/>
    </row>
    <row r="48" spans="1:13" ht="20.100000000000001" customHeight="1" x14ac:dyDescent="0.3">
      <c r="B48" s="61">
        <v>10</v>
      </c>
      <c r="C48" s="76"/>
      <c r="D48" s="72"/>
      <c r="E48" s="72"/>
      <c r="F48" s="72"/>
      <c r="G48" s="73"/>
      <c r="H48" s="74"/>
      <c r="I48" s="74"/>
      <c r="J48" s="74"/>
      <c r="K48" s="74"/>
      <c r="L48" s="74"/>
    </row>
    <row r="49" spans="2:12" ht="20.100000000000001" customHeight="1" x14ac:dyDescent="0.3">
      <c r="B49" s="73">
        <v>11</v>
      </c>
      <c r="C49" s="76"/>
      <c r="D49" s="72"/>
      <c r="E49" s="72"/>
      <c r="F49" s="72"/>
      <c r="G49" s="73"/>
      <c r="H49" s="74"/>
      <c r="I49" s="74"/>
      <c r="J49" s="74"/>
      <c r="K49" s="74"/>
      <c r="L49" s="74"/>
    </row>
    <row r="50" spans="2:12" ht="20.100000000000001" customHeight="1" x14ac:dyDescent="0.3">
      <c r="B50" s="73">
        <v>12</v>
      </c>
      <c r="C50" s="76"/>
      <c r="D50" s="72"/>
      <c r="E50" s="72"/>
      <c r="F50" s="72"/>
      <c r="G50" s="73"/>
      <c r="H50" s="74"/>
      <c r="I50" s="74"/>
      <c r="J50" s="74"/>
      <c r="K50" s="74"/>
      <c r="L50" s="74"/>
    </row>
    <row r="51" spans="2:12" ht="20.100000000000001" customHeight="1" x14ac:dyDescent="0.3">
      <c r="B51" s="73">
        <v>13</v>
      </c>
      <c r="C51" s="76"/>
      <c r="D51" s="72"/>
      <c r="E51" s="72"/>
      <c r="F51" s="72"/>
      <c r="G51" s="73"/>
      <c r="H51" s="74"/>
      <c r="I51" s="74"/>
      <c r="J51" s="74"/>
      <c r="K51" s="74"/>
      <c r="L51" s="74"/>
    </row>
    <row r="52" spans="2:12" ht="20.100000000000001" customHeight="1" x14ac:dyDescent="0.3">
      <c r="B52" s="73">
        <v>14</v>
      </c>
      <c r="C52" s="76"/>
      <c r="D52" s="72"/>
      <c r="E52" s="72"/>
      <c r="F52" s="72"/>
      <c r="G52" s="73"/>
      <c r="H52" s="74"/>
      <c r="I52" s="74"/>
      <c r="J52" s="74"/>
      <c r="K52" s="74"/>
      <c r="L52" s="74"/>
    </row>
    <row r="53" spans="2:12" ht="20.100000000000001" customHeight="1" x14ac:dyDescent="0.3">
      <c r="B53" s="73">
        <v>15</v>
      </c>
      <c r="C53" s="76"/>
      <c r="D53" s="72"/>
      <c r="E53" s="72"/>
      <c r="F53" s="72"/>
      <c r="G53" s="73"/>
      <c r="H53" s="74"/>
      <c r="I53" s="74"/>
      <c r="J53" s="74"/>
      <c r="K53" s="74"/>
      <c r="L53" s="74"/>
    </row>
    <row r="54" spans="2:12" ht="20.100000000000001" customHeight="1" x14ac:dyDescent="0.3">
      <c r="B54" s="73">
        <v>16</v>
      </c>
      <c r="C54" s="76"/>
      <c r="D54" s="72"/>
      <c r="E54" s="72"/>
      <c r="F54" s="72"/>
      <c r="G54" s="73"/>
      <c r="H54" s="74"/>
      <c r="I54" s="74"/>
      <c r="J54" s="74"/>
      <c r="K54" s="74"/>
      <c r="L54" s="74"/>
    </row>
    <row r="55" spans="2:12" ht="20.100000000000001" customHeight="1" x14ac:dyDescent="0.3">
      <c r="D55" s="32">
        <f>SUM(D39:D54)/2</f>
        <v>2</v>
      </c>
      <c r="E55" s="32">
        <f>SUM(E39:E54)</f>
        <v>2</v>
      </c>
      <c r="F55" s="32">
        <f>SUM(F39:F54)/2</f>
        <v>0</v>
      </c>
      <c r="G55" s="32">
        <f>SUM(G39:G54)</f>
        <v>2</v>
      </c>
      <c r="H55" s="32">
        <f>SUM(H39:H54)</f>
        <v>9</v>
      </c>
      <c r="I55" s="32">
        <f>SUM(I39:I54)</f>
        <v>9</v>
      </c>
    </row>
    <row r="56" spans="2:12" ht="20.100000000000001" customHeight="1" x14ac:dyDescent="0.3">
      <c r="B56" s="77"/>
      <c r="C56" s="32" t="s">
        <v>118</v>
      </c>
    </row>
    <row r="60" spans="2:12" ht="20.100000000000001" customHeight="1" x14ac:dyDescent="0.3">
      <c r="D60" s="34" t="s">
        <v>111</v>
      </c>
      <c r="E60" s="34"/>
    </row>
    <row r="61" spans="2:12" ht="20.100000000000001" customHeight="1" x14ac:dyDescent="0.3">
      <c r="D61" s="34" t="s">
        <v>112</v>
      </c>
    </row>
    <row r="62" spans="2:12" ht="20.100000000000001" customHeight="1" x14ac:dyDescent="0.3">
      <c r="D62" s="34" t="s">
        <v>113</v>
      </c>
    </row>
    <row r="65" spans="1:13" ht="20.100000000000001" customHeight="1" x14ac:dyDescent="0.3">
      <c r="C65" s="334" t="s">
        <v>39</v>
      </c>
      <c r="D65" s="335"/>
      <c r="E65" s="335"/>
      <c r="F65" s="335"/>
      <c r="G65" s="335"/>
      <c r="H65" s="335"/>
      <c r="I65" s="335"/>
      <c r="J65" s="335"/>
      <c r="K65" s="335"/>
      <c r="L65" s="336"/>
    </row>
    <row r="66" spans="1:13" ht="20.100000000000001" customHeight="1" x14ac:dyDescent="0.3">
      <c r="C66" s="38" t="s">
        <v>16</v>
      </c>
      <c r="D66" s="38" t="s">
        <v>19</v>
      </c>
      <c r="E66" s="38" t="s">
        <v>20</v>
      </c>
      <c r="F66" s="38" t="s">
        <v>21</v>
      </c>
      <c r="G66" s="39" t="s">
        <v>22</v>
      </c>
      <c r="H66" s="40" t="s">
        <v>23</v>
      </c>
      <c r="I66" s="40" t="s">
        <v>24</v>
      </c>
      <c r="J66" s="41" t="s">
        <v>25</v>
      </c>
      <c r="K66" s="42" t="s">
        <v>38</v>
      </c>
      <c r="L66" s="43" t="s">
        <v>26</v>
      </c>
    </row>
    <row r="67" spans="1:13" ht="20.100000000000001" customHeight="1" x14ac:dyDescent="0.3">
      <c r="B67" s="45">
        <v>1</v>
      </c>
      <c r="C67" s="46" t="s">
        <v>142</v>
      </c>
      <c r="D67" s="47">
        <v>0</v>
      </c>
      <c r="E67" s="47">
        <v>0</v>
      </c>
      <c r="F67" s="47">
        <v>0</v>
      </c>
      <c r="G67" s="48">
        <v>0</v>
      </c>
      <c r="H67" s="49">
        <v>0</v>
      </c>
      <c r="I67" s="49">
        <v>0</v>
      </c>
      <c r="J67" s="49">
        <v>0</v>
      </c>
      <c r="K67" s="50" t="s">
        <v>180</v>
      </c>
      <c r="L67" s="49">
        <v>0</v>
      </c>
    </row>
    <row r="68" spans="1:13" ht="20.100000000000001" customHeight="1" x14ac:dyDescent="0.3">
      <c r="B68" s="59">
        <v>2</v>
      </c>
      <c r="C68" s="46" t="s">
        <v>165</v>
      </c>
      <c r="D68" s="47">
        <v>0</v>
      </c>
      <c r="E68" s="47">
        <v>0</v>
      </c>
      <c r="F68" s="47">
        <v>0</v>
      </c>
      <c r="G68" s="48">
        <v>0</v>
      </c>
      <c r="H68" s="49">
        <v>0</v>
      </c>
      <c r="I68" s="49">
        <v>0</v>
      </c>
      <c r="J68" s="49">
        <v>0</v>
      </c>
      <c r="K68" s="49" t="s">
        <v>180</v>
      </c>
      <c r="L68" s="49">
        <v>0</v>
      </c>
      <c r="M68" s="35"/>
    </row>
    <row r="69" spans="1:13" ht="20.100000000000001" customHeight="1" x14ac:dyDescent="0.3">
      <c r="B69" s="59">
        <v>3</v>
      </c>
      <c r="C69" s="46"/>
      <c r="D69" s="47"/>
      <c r="E69" s="47"/>
      <c r="F69" s="47"/>
      <c r="G69" s="48"/>
      <c r="H69" s="61"/>
      <c r="I69" s="49"/>
      <c r="J69" s="49"/>
      <c r="K69" s="49"/>
      <c r="L69" s="49"/>
      <c r="M69" s="35"/>
    </row>
    <row r="70" spans="1:13" ht="20.100000000000001" customHeight="1" x14ac:dyDescent="0.3">
      <c r="A70" s="44"/>
      <c r="B70" s="45">
        <v>4</v>
      </c>
      <c r="C70" s="46"/>
      <c r="D70" s="47"/>
      <c r="E70" s="47"/>
      <c r="F70" s="47"/>
      <c r="G70" s="48"/>
      <c r="H70" s="49"/>
      <c r="I70" s="49"/>
      <c r="J70" s="49"/>
      <c r="K70" s="49"/>
      <c r="L70" s="49"/>
    </row>
    <row r="71" spans="1:13" ht="20.100000000000001" customHeight="1" x14ac:dyDescent="0.3">
      <c r="B71" s="45">
        <v>5</v>
      </c>
      <c r="C71" s="66"/>
      <c r="D71" s="47"/>
      <c r="E71" s="47"/>
      <c r="F71" s="47"/>
      <c r="G71" s="48"/>
      <c r="H71" s="49"/>
      <c r="I71" s="49"/>
      <c r="J71" s="49"/>
      <c r="K71" s="49"/>
      <c r="L71" s="49"/>
    </row>
    <row r="72" spans="1:13" ht="20.100000000000001" customHeight="1" x14ac:dyDescent="0.3">
      <c r="B72" s="67">
        <v>6</v>
      </c>
      <c r="C72" s="68"/>
      <c r="D72" s="65"/>
      <c r="E72" s="65"/>
      <c r="F72" s="65"/>
      <c r="G72" s="61"/>
      <c r="H72" s="69"/>
      <c r="I72" s="69"/>
      <c r="J72" s="69"/>
      <c r="K72" s="69"/>
      <c r="L72" s="69"/>
    </row>
    <row r="73" spans="1:13" ht="20.100000000000001" customHeight="1" x14ac:dyDescent="0.3">
      <c r="B73" s="70">
        <v>7</v>
      </c>
      <c r="C73" s="71"/>
      <c r="D73" s="72"/>
      <c r="E73" s="72"/>
      <c r="F73" s="72"/>
      <c r="G73" s="73"/>
      <c r="H73" s="74"/>
      <c r="I73" s="74"/>
      <c r="J73" s="74"/>
      <c r="K73" s="74"/>
      <c r="L73" s="74"/>
    </row>
    <row r="74" spans="1:13" ht="20.100000000000001" customHeight="1" x14ac:dyDescent="0.3">
      <c r="B74" s="70">
        <v>8</v>
      </c>
      <c r="C74" s="71"/>
      <c r="D74" s="72"/>
      <c r="E74" s="72"/>
      <c r="F74" s="72"/>
      <c r="G74" s="73"/>
      <c r="H74" s="74"/>
      <c r="I74" s="74"/>
      <c r="J74" s="74"/>
      <c r="K74" s="74"/>
      <c r="L74" s="74"/>
    </row>
    <row r="75" spans="1:13" ht="20.100000000000001" customHeight="1" x14ac:dyDescent="0.3">
      <c r="B75" s="75">
        <v>9</v>
      </c>
      <c r="C75" s="71"/>
      <c r="D75" s="72"/>
      <c r="E75" s="72"/>
      <c r="F75" s="72"/>
      <c r="G75" s="73"/>
      <c r="H75" s="74"/>
      <c r="I75" s="74"/>
      <c r="J75" s="74"/>
      <c r="K75" s="74"/>
      <c r="L75" s="74"/>
    </row>
    <row r="76" spans="1:13" ht="20.100000000000001" customHeight="1" x14ac:dyDescent="0.3">
      <c r="B76" s="61">
        <v>10</v>
      </c>
      <c r="C76" s="76"/>
      <c r="D76" s="72"/>
      <c r="E76" s="72"/>
      <c r="F76" s="72"/>
      <c r="G76" s="73"/>
      <c r="H76" s="74"/>
      <c r="I76" s="74"/>
      <c r="J76" s="74"/>
      <c r="K76" s="74"/>
      <c r="L76" s="74"/>
    </row>
    <row r="77" spans="1:13" ht="20.100000000000001" customHeight="1" x14ac:dyDescent="0.3">
      <c r="B77" s="73">
        <v>11</v>
      </c>
      <c r="C77" s="76"/>
      <c r="D77" s="72"/>
      <c r="E77" s="72"/>
      <c r="F77" s="72"/>
      <c r="G77" s="73"/>
      <c r="H77" s="74"/>
      <c r="I77" s="74"/>
      <c r="J77" s="74"/>
      <c r="K77" s="74"/>
      <c r="L77" s="74"/>
    </row>
    <row r="78" spans="1:13" ht="20.100000000000001" customHeight="1" x14ac:dyDescent="0.3">
      <c r="B78" s="73">
        <v>12</v>
      </c>
      <c r="C78" s="76"/>
      <c r="D78" s="72"/>
      <c r="E78" s="72"/>
      <c r="F78" s="72"/>
      <c r="G78" s="73"/>
      <c r="H78" s="74"/>
      <c r="I78" s="74"/>
      <c r="J78" s="74"/>
      <c r="K78" s="74"/>
      <c r="L78" s="74"/>
    </row>
    <row r="79" spans="1:13" ht="20.100000000000001" customHeight="1" x14ac:dyDescent="0.3">
      <c r="B79" s="73">
        <v>13</v>
      </c>
      <c r="C79" s="76"/>
      <c r="D79" s="72"/>
      <c r="E79" s="72"/>
      <c r="F79" s="72"/>
      <c r="G79" s="73"/>
      <c r="H79" s="74"/>
      <c r="I79" s="74"/>
      <c r="J79" s="74"/>
      <c r="K79" s="74"/>
      <c r="L79" s="74"/>
    </row>
    <row r="80" spans="1:13" ht="20.100000000000001" customHeight="1" x14ac:dyDescent="0.3">
      <c r="B80" s="73">
        <v>14</v>
      </c>
      <c r="C80" s="76"/>
      <c r="D80" s="72"/>
      <c r="E80" s="72"/>
      <c r="F80" s="72"/>
      <c r="G80" s="73"/>
      <c r="H80" s="74"/>
      <c r="I80" s="74"/>
      <c r="J80" s="74"/>
      <c r="K80" s="74"/>
      <c r="L80" s="74"/>
    </row>
    <row r="81" spans="2:13" ht="20.100000000000001" customHeight="1" x14ac:dyDescent="0.3">
      <c r="B81" s="73">
        <v>15</v>
      </c>
      <c r="C81" s="76"/>
      <c r="D81" s="72"/>
      <c r="E81" s="72"/>
      <c r="F81" s="72"/>
      <c r="G81" s="73"/>
      <c r="H81" s="74"/>
      <c r="I81" s="74"/>
      <c r="J81" s="74"/>
      <c r="K81" s="74"/>
      <c r="L81" s="74"/>
    </row>
    <row r="82" spans="2:13" ht="20.100000000000001" customHeight="1" x14ac:dyDescent="0.3">
      <c r="B82" s="73">
        <v>16</v>
      </c>
      <c r="C82" s="76"/>
      <c r="D82" s="72"/>
      <c r="E82" s="72"/>
      <c r="F82" s="72"/>
      <c r="G82" s="73"/>
      <c r="H82" s="74"/>
      <c r="I82" s="74"/>
      <c r="J82" s="74"/>
      <c r="K82" s="74"/>
      <c r="L82" s="74"/>
    </row>
    <row r="83" spans="2:13" ht="20.100000000000001" customHeight="1" x14ac:dyDescent="0.3">
      <c r="D83" s="32">
        <f>SUM(D67:D82)/2</f>
        <v>0</v>
      </c>
      <c r="E83" s="32">
        <f>SUM(E67:E82)</f>
        <v>0</v>
      </c>
      <c r="F83" s="32">
        <f>SUM(F67:F82)/2</f>
        <v>0</v>
      </c>
      <c r="G83" s="32">
        <f>SUM(G67:G82)</f>
        <v>0</v>
      </c>
      <c r="H83" s="32">
        <f>SUM(H67:H82)</f>
        <v>0</v>
      </c>
      <c r="I83" s="32">
        <f>SUM(I67:I82)</f>
        <v>0</v>
      </c>
    </row>
    <row r="84" spans="2:13" ht="20.100000000000001" customHeight="1" x14ac:dyDescent="0.3">
      <c r="B84" s="77"/>
      <c r="C84" s="32" t="s">
        <v>118</v>
      </c>
    </row>
    <row r="88" spans="2:13" ht="20.100000000000001" customHeight="1" x14ac:dyDescent="0.3">
      <c r="D88" s="34" t="s">
        <v>111</v>
      </c>
      <c r="E88" s="34"/>
    </row>
    <row r="89" spans="2:13" ht="20.100000000000001" customHeight="1" x14ac:dyDescent="0.3">
      <c r="D89" s="34" t="s">
        <v>112</v>
      </c>
    </row>
    <row r="90" spans="2:13" ht="20.100000000000001" customHeight="1" x14ac:dyDescent="0.3">
      <c r="D90" s="34" t="s">
        <v>113</v>
      </c>
    </row>
    <row r="93" spans="2:13" ht="20.100000000000001" customHeight="1" x14ac:dyDescent="0.3">
      <c r="C93" s="334" t="s">
        <v>41</v>
      </c>
      <c r="D93" s="335"/>
      <c r="E93" s="335"/>
      <c r="F93" s="335"/>
      <c r="G93" s="335"/>
      <c r="H93" s="335"/>
      <c r="I93" s="335"/>
      <c r="J93" s="335"/>
      <c r="K93" s="335"/>
      <c r="L93" s="336"/>
    </row>
    <row r="94" spans="2:13" ht="20.100000000000001" customHeight="1" x14ac:dyDescent="0.3">
      <c r="C94" s="38" t="s">
        <v>16</v>
      </c>
      <c r="D94" s="38" t="s">
        <v>19</v>
      </c>
      <c r="E94" s="38" t="s">
        <v>20</v>
      </c>
      <c r="F94" s="38" t="s">
        <v>21</v>
      </c>
      <c r="G94" s="39" t="s">
        <v>22</v>
      </c>
      <c r="H94" s="40" t="s">
        <v>23</v>
      </c>
      <c r="I94" s="40" t="s">
        <v>24</v>
      </c>
      <c r="J94" s="41" t="s">
        <v>25</v>
      </c>
      <c r="K94" s="42" t="s">
        <v>38</v>
      </c>
      <c r="L94" s="43" t="s">
        <v>26</v>
      </c>
    </row>
    <row r="95" spans="2:13" ht="20.100000000000001" customHeight="1" x14ac:dyDescent="0.3">
      <c r="B95" s="45">
        <v>1</v>
      </c>
      <c r="C95" s="46" t="s">
        <v>134</v>
      </c>
      <c r="D95" s="47">
        <v>1</v>
      </c>
      <c r="E95" s="47">
        <v>1</v>
      </c>
      <c r="F95" s="47">
        <v>0</v>
      </c>
      <c r="G95" s="48">
        <v>0</v>
      </c>
      <c r="H95" s="49">
        <v>2</v>
      </c>
      <c r="I95" s="49">
        <v>0</v>
      </c>
      <c r="J95" s="49">
        <v>2</v>
      </c>
      <c r="K95" s="50" t="s">
        <v>180</v>
      </c>
      <c r="L95" s="49">
        <v>3</v>
      </c>
    </row>
    <row r="96" spans="2:13" ht="20.100000000000001" customHeight="1" x14ac:dyDescent="0.3">
      <c r="B96" s="59">
        <v>2</v>
      </c>
      <c r="C96" s="46" t="s">
        <v>168</v>
      </c>
      <c r="D96" s="47">
        <v>0</v>
      </c>
      <c r="E96" s="47">
        <v>0</v>
      </c>
      <c r="F96" s="47">
        <v>0</v>
      </c>
      <c r="G96" s="48">
        <v>0</v>
      </c>
      <c r="H96" s="49">
        <v>0</v>
      </c>
      <c r="I96" s="49">
        <v>0</v>
      </c>
      <c r="J96" s="49">
        <v>0</v>
      </c>
      <c r="K96" s="49" t="s">
        <v>180</v>
      </c>
      <c r="L96" s="49">
        <v>0</v>
      </c>
      <c r="M96" s="35"/>
    </row>
    <row r="97" spans="1:13" ht="20.100000000000001" customHeight="1" x14ac:dyDescent="0.3">
      <c r="B97" s="59">
        <v>3</v>
      </c>
      <c r="C97" s="46" t="s">
        <v>153</v>
      </c>
      <c r="D97" s="47">
        <v>1</v>
      </c>
      <c r="E97" s="47">
        <v>0</v>
      </c>
      <c r="F97" s="47">
        <v>0</v>
      </c>
      <c r="G97" s="48">
        <v>1</v>
      </c>
      <c r="H97" s="61">
        <v>0</v>
      </c>
      <c r="I97" s="49">
        <v>2</v>
      </c>
      <c r="J97" s="49">
        <v>-2</v>
      </c>
      <c r="K97" s="49">
        <v>2</v>
      </c>
      <c r="L97" s="49">
        <v>0</v>
      </c>
      <c r="M97" s="35"/>
    </row>
    <row r="98" spans="1:13" ht="20.100000000000001" customHeight="1" x14ac:dyDescent="0.3">
      <c r="A98" s="44"/>
      <c r="B98" s="45">
        <v>4</v>
      </c>
      <c r="C98" s="46"/>
      <c r="D98" s="47"/>
      <c r="E98" s="47"/>
      <c r="F98" s="47"/>
      <c r="G98" s="48"/>
      <c r="H98" s="49"/>
      <c r="I98" s="49"/>
      <c r="J98" s="49"/>
      <c r="K98" s="49"/>
      <c r="L98" s="49"/>
    </row>
    <row r="99" spans="1:13" ht="20.100000000000001" customHeight="1" x14ac:dyDescent="0.3">
      <c r="B99" s="45">
        <v>5</v>
      </c>
      <c r="C99" s="66"/>
      <c r="D99" s="47"/>
      <c r="E99" s="47"/>
      <c r="F99" s="47"/>
      <c r="G99" s="48"/>
      <c r="H99" s="49"/>
      <c r="I99" s="49"/>
      <c r="J99" s="49"/>
      <c r="K99" s="49"/>
      <c r="L99" s="49"/>
    </row>
    <row r="100" spans="1:13" ht="20.100000000000001" customHeight="1" x14ac:dyDescent="0.3">
      <c r="B100" s="67">
        <v>6</v>
      </c>
      <c r="C100" s="68"/>
      <c r="D100" s="65"/>
      <c r="E100" s="65"/>
      <c r="F100" s="65"/>
      <c r="G100" s="61"/>
      <c r="H100" s="69"/>
      <c r="I100" s="69"/>
      <c r="J100" s="69"/>
      <c r="K100" s="69"/>
      <c r="L100" s="69"/>
    </row>
    <row r="101" spans="1:13" ht="20.100000000000001" customHeight="1" x14ac:dyDescent="0.3">
      <c r="B101" s="70">
        <v>7</v>
      </c>
      <c r="C101" s="71"/>
      <c r="D101" s="72"/>
      <c r="E101" s="72"/>
      <c r="F101" s="72"/>
      <c r="G101" s="73"/>
      <c r="H101" s="74"/>
      <c r="I101" s="74"/>
      <c r="J101" s="74"/>
      <c r="K101" s="74"/>
      <c r="L101" s="74"/>
    </row>
    <row r="102" spans="1:13" ht="20.100000000000001" customHeight="1" x14ac:dyDescent="0.3">
      <c r="B102" s="70">
        <v>8</v>
      </c>
      <c r="C102" s="71"/>
      <c r="D102" s="72"/>
      <c r="E102" s="72"/>
      <c r="F102" s="72"/>
      <c r="G102" s="73"/>
      <c r="H102" s="74"/>
      <c r="I102" s="74"/>
      <c r="J102" s="74"/>
      <c r="K102" s="74"/>
      <c r="L102" s="74"/>
    </row>
    <row r="103" spans="1:13" ht="20.100000000000001" customHeight="1" x14ac:dyDescent="0.3">
      <c r="B103" s="75">
        <v>9</v>
      </c>
      <c r="C103" s="71"/>
      <c r="D103" s="72"/>
      <c r="E103" s="72"/>
      <c r="F103" s="72"/>
      <c r="G103" s="73"/>
      <c r="H103" s="74"/>
      <c r="I103" s="74"/>
      <c r="J103" s="74"/>
      <c r="K103" s="74"/>
      <c r="L103" s="74"/>
    </row>
    <row r="104" spans="1:13" ht="20.100000000000001" customHeight="1" x14ac:dyDescent="0.3">
      <c r="B104" s="61">
        <v>10</v>
      </c>
      <c r="C104" s="76"/>
      <c r="D104" s="72"/>
      <c r="E104" s="72"/>
      <c r="F104" s="72"/>
      <c r="G104" s="73"/>
      <c r="H104" s="74"/>
      <c r="I104" s="74"/>
      <c r="J104" s="74"/>
      <c r="K104" s="74"/>
      <c r="L104" s="74"/>
    </row>
    <row r="105" spans="1:13" ht="20.100000000000001" customHeight="1" x14ac:dyDescent="0.3">
      <c r="B105" s="73">
        <v>11</v>
      </c>
      <c r="C105" s="76"/>
      <c r="D105" s="72"/>
      <c r="E105" s="72"/>
      <c r="F105" s="72"/>
      <c r="G105" s="73"/>
      <c r="H105" s="74"/>
      <c r="I105" s="74"/>
      <c r="J105" s="74"/>
      <c r="K105" s="74"/>
      <c r="L105" s="74"/>
    </row>
    <row r="106" spans="1:13" ht="20.100000000000001" customHeight="1" x14ac:dyDescent="0.3">
      <c r="B106" s="73">
        <v>12</v>
      </c>
      <c r="C106" s="76"/>
      <c r="D106" s="72"/>
      <c r="E106" s="72"/>
      <c r="F106" s="72"/>
      <c r="G106" s="73"/>
      <c r="H106" s="74"/>
      <c r="I106" s="74"/>
      <c r="J106" s="74"/>
      <c r="K106" s="74"/>
      <c r="L106" s="74"/>
    </row>
    <row r="107" spans="1:13" ht="20.100000000000001" customHeight="1" x14ac:dyDescent="0.3">
      <c r="B107" s="73">
        <v>13</v>
      </c>
      <c r="C107" s="76"/>
      <c r="D107" s="72"/>
      <c r="E107" s="72"/>
      <c r="F107" s="72"/>
      <c r="G107" s="73"/>
      <c r="H107" s="74"/>
      <c r="I107" s="74"/>
      <c r="J107" s="74"/>
      <c r="K107" s="74"/>
      <c r="L107" s="74"/>
    </row>
    <row r="108" spans="1:13" ht="20.100000000000001" customHeight="1" x14ac:dyDescent="0.3">
      <c r="B108" s="73">
        <v>14</v>
      </c>
      <c r="C108" s="76"/>
      <c r="D108" s="72"/>
      <c r="E108" s="72"/>
      <c r="F108" s="72"/>
      <c r="G108" s="73"/>
      <c r="H108" s="74"/>
      <c r="I108" s="74"/>
      <c r="J108" s="74"/>
      <c r="K108" s="74"/>
      <c r="L108" s="74"/>
    </row>
    <row r="109" spans="1:13" ht="20.100000000000001" customHeight="1" x14ac:dyDescent="0.3">
      <c r="B109" s="73">
        <v>15</v>
      </c>
      <c r="C109" s="76"/>
      <c r="D109" s="72"/>
      <c r="E109" s="72"/>
      <c r="F109" s="72"/>
      <c r="G109" s="73"/>
      <c r="H109" s="74"/>
      <c r="I109" s="74"/>
      <c r="J109" s="74"/>
      <c r="K109" s="74"/>
      <c r="L109" s="74"/>
    </row>
    <row r="110" spans="1:13" ht="20.100000000000001" customHeight="1" x14ac:dyDescent="0.3">
      <c r="B110" s="73">
        <v>16</v>
      </c>
      <c r="C110" s="76"/>
      <c r="D110" s="72"/>
      <c r="E110" s="72"/>
      <c r="F110" s="72"/>
      <c r="G110" s="73"/>
      <c r="H110" s="74"/>
      <c r="I110" s="74"/>
      <c r="J110" s="74"/>
      <c r="K110" s="74"/>
      <c r="L110" s="74"/>
    </row>
    <row r="111" spans="1:13" ht="20.100000000000001" customHeight="1" x14ac:dyDescent="0.3">
      <c r="D111" s="32">
        <f>SUM(D95:D110)/2</f>
        <v>1</v>
      </c>
      <c r="E111" s="32">
        <f>SUM(E95:E110)</f>
        <v>1</v>
      </c>
      <c r="F111" s="32">
        <f>SUM(F95:F110)/2</f>
        <v>0</v>
      </c>
      <c r="G111" s="32">
        <f>SUM(G95:G110)</f>
        <v>1</v>
      </c>
      <c r="H111" s="32">
        <f>SUM(H95:H110)</f>
        <v>2</v>
      </c>
      <c r="I111" s="32">
        <f>SUM(I95:I110)</f>
        <v>2</v>
      </c>
    </row>
    <row r="112" spans="1:13" ht="20.100000000000001" customHeight="1" x14ac:dyDescent="0.3">
      <c r="B112" s="77"/>
      <c r="C112" s="32" t="s">
        <v>118</v>
      </c>
    </row>
  </sheetData>
  <sortState ref="P12:S16">
    <sortCondition descending="1" ref="Q12:Q16"/>
    <sortCondition descending="1" ref="S12:S16"/>
  </sortState>
  <mergeCells count="10">
    <mergeCell ref="C37:L37"/>
    <mergeCell ref="C65:L65"/>
    <mergeCell ref="C93:L93"/>
    <mergeCell ref="C9:L9"/>
    <mergeCell ref="P9:S9"/>
    <mergeCell ref="W9:Y9"/>
    <mergeCell ref="AC9:AE9"/>
    <mergeCell ref="P10:S10"/>
    <mergeCell ref="W10:Y10"/>
    <mergeCell ref="AC10:AE10"/>
  </mergeCells>
  <pageMargins left="0.39370078740157483" right="0.19685039370078741" top="0.19685039370078741" bottom="0.19685039370078741" header="0.31496062992125984" footer="0.31496062992125984"/>
  <pageSetup scale="70" orientation="portrait" horizontalDpi="300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32</vt:i4>
      </vt:variant>
    </vt:vector>
  </HeadingPairs>
  <TitlesOfParts>
    <vt:vector size="32" baseType="lpstr">
      <vt:lpstr>DIR</vt:lpstr>
      <vt:lpstr>JUGADORES</vt:lpstr>
      <vt:lpstr>A</vt:lpstr>
      <vt:lpstr>GRUPO A</vt:lpstr>
      <vt:lpstr>B</vt:lpstr>
      <vt:lpstr>GRUPO B</vt:lpstr>
      <vt:lpstr>C</vt:lpstr>
      <vt:lpstr>GRUPO C</vt:lpstr>
      <vt:lpstr>D</vt:lpstr>
      <vt:lpstr>GRUPO D</vt:lpstr>
      <vt:lpstr>TARJETAS</vt:lpstr>
      <vt:lpstr>GENERAL</vt:lpstr>
      <vt:lpstr>CUADRANGULARES</vt:lpstr>
      <vt:lpstr>1</vt:lpstr>
      <vt:lpstr>C1</vt:lpstr>
      <vt:lpstr>2</vt:lpstr>
      <vt:lpstr>C2</vt:lpstr>
      <vt:lpstr>3</vt:lpstr>
      <vt:lpstr>C3</vt:lpstr>
      <vt:lpstr>4</vt:lpstr>
      <vt:lpstr>C4</vt:lpstr>
      <vt:lpstr>5</vt:lpstr>
      <vt:lpstr>C5</vt:lpstr>
      <vt:lpstr>6</vt:lpstr>
      <vt:lpstr>C6</vt:lpstr>
      <vt:lpstr>7</vt:lpstr>
      <vt:lpstr>C7</vt:lpstr>
      <vt:lpstr>8</vt:lpstr>
      <vt:lpstr>C8</vt:lpstr>
      <vt:lpstr>FINALES</vt:lpstr>
      <vt:lpstr>23 Y 24 JUL</vt:lpstr>
      <vt:lpstr>17 JUL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Lenovo</cp:lastModifiedBy>
  <cp:lastPrinted>2022-07-30T17:35:15Z</cp:lastPrinted>
  <dcterms:created xsi:type="dcterms:W3CDTF">2012-06-25T16:56:11Z</dcterms:created>
  <dcterms:modified xsi:type="dcterms:W3CDTF">2022-08-01T23:00:38Z</dcterms:modified>
</cp:coreProperties>
</file>